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C\Desktop\Aarti\Learning\excel_projects\"/>
    </mc:Choice>
  </mc:AlternateContent>
  <xr:revisionPtr revIDLastSave="0" documentId="13_ncr:1_{B6974931-FFAF-4F16-B1F5-BFEE784CA308}" xr6:coauthVersionLast="47" xr6:coauthVersionMax="47" xr10:uidLastSave="{00000000-0000-0000-0000-000000000000}"/>
  <bookViews>
    <workbookView xWindow="-108" yWindow="-108" windowWidth="23256" windowHeight="12576" xr2:uid="{7EF919B2-F176-4E12-A6BD-2E8E527E51BE}"/>
  </bookViews>
  <sheets>
    <sheet name="Expense_Data" sheetId="1" r:id="rId1"/>
    <sheet name="Analysis" sheetId="2" r:id="rId2"/>
    <sheet name="Dashboard" sheetId="3" r:id="rId3"/>
  </sheets>
  <definedNames>
    <definedName name="Slicer_Month">#N/A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 l="1"/>
  <c r="C7" i="2"/>
  <c r="C6" i="2"/>
  <c r="C5" i="2"/>
  <c r="C4" i="2"/>
  <c r="C3" i="2"/>
  <c r="C2" i="2"/>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2" i="1"/>
  <c r="G3" i="1"/>
  <c r="G4" i="1"/>
  <c r="G5" i="1"/>
  <c r="G6" i="1"/>
  <c r="G7" i="1"/>
  <c r="G8" i="1"/>
  <c r="G9" i="1"/>
  <c r="G10" i="1"/>
  <c r="G11" i="1"/>
  <c r="G12" i="1"/>
  <c r="G13" i="1"/>
  <c r="G14" i="1"/>
  <c r="G15" i="1"/>
  <c r="G16" i="1"/>
  <c r="F2" i="1"/>
  <c r="F3" i="1"/>
  <c r="F4" i="1"/>
  <c r="F5" i="1"/>
  <c r="F6" i="1"/>
  <c r="F7" i="1"/>
  <c r="F8" i="1"/>
  <c r="F9" i="1"/>
  <c r="F10" i="1"/>
  <c r="F11" i="1"/>
  <c r="F12" i="1"/>
  <c r="F13" i="1"/>
  <c r="F14" i="1"/>
  <c r="F15" i="1"/>
  <c r="F16" i="1"/>
</calcChain>
</file>

<file path=xl/sharedStrings.xml><?xml version="1.0" encoding="utf-8"?>
<sst xmlns="http://schemas.openxmlformats.org/spreadsheetml/2006/main" count="169" uniqueCount="63">
  <si>
    <t>Date</t>
  </si>
  <si>
    <t>Category</t>
  </si>
  <si>
    <t>Description</t>
  </si>
  <si>
    <t>Payment Mode</t>
  </si>
  <si>
    <t>Amount</t>
  </si>
  <si>
    <t>Food</t>
  </si>
  <si>
    <t>Lunch</t>
  </si>
  <si>
    <t>UPI</t>
  </si>
  <si>
    <t>Travel</t>
  </si>
  <si>
    <t>Bus Ticket</t>
  </si>
  <si>
    <t>Cash</t>
  </si>
  <si>
    <t>Shopping</t>
  </si>
  <si>
    <t>Clothes</t>
  </si>
  <si>
    <t>Card</t>
  </si>
  <si>
    <t>Dinner</t>
  </si>
  <si>
    <t>Entertainment</t>
  </si>
  <si>
    <t>Movie</t>
  </si>
  <si>
    <t>Bills</t>
  </si>
  <si>
    <t>Electricity Bill</t>
  </si>
  <si>
    <t>Breakfast</t>
  </si>
  <si>
    <t>Auto Fare</t>
  </si>
  <si>
    <t>Shoes</t>
  </si>
  <si>
    <t>Internet Bill</t>
  </si>
  <si>
    <t>Netflix</t>
  </si>
  <si>
    <t>Snacks</t>
  </si>
  <si>
    <t>Health</t>
  </si>
  <si>
    <t>Medicines</t>
  </si>
  <si>
    <t>Education</t>
  </si>
  <si>
    <t>Books</t>
  </si>
  <si>
    <t>Train Ticket</t>
  </si>
  <si>
    <t>Month</t>
  </si>
  <si>
    <t>Year</t>
  </si>
  <si>
    <t>Pizza</t>
  </si>
  <si>
    <t>Cab Fare</t>
  </si>
  <si>
    <t>Handbag</t>
  </si>
  <si>
    <t>Water Bill</t>
  </si>
  <si>
    <t>Concert Ticket</t>
  </si>
  <si>
    <t>Doctor Visit</t>
  </si>
  <si>
    <t>Stationery</t>
  </si>
  <si>
    <t>Gas Bill</t>
  </si>
  <si>
    <t>Restaurant</t>
  </si>
  <si>
    <t>Online Course</t>
  </si>
  <si>
    <t>OTT Subscription</t>
  </si>
  <si>
    <t>Accessories</t>
  </si>
  <si>
    <t>Mobile Recharge</t>
  </si>
  <si>
    <t>T-Shirt</t>
  </si>
  <si>
    <t>Metro Card Recharge</t>
  </si>
  <si>
    <t>Vitamins</t>
  </si>
  <si>
    <t>Earphones</t>
  </si>
  <si>
    <t>Total Expenses</t>
  </si>
  <si>
    <t>Highest Expense</t>
  </si>
  <si>
    <t>Lowest Expense</t>
  </si>
  <si>
    <t>Average Expense</t>
  </si>
  <si>
    <t>Most Expensive Category</t>
  </si>
  <si>
    <t>Most Used Payment Mode</t>
  </si>
  <si>
    <t>Highest Spending Month</t>
  </si>
  <si>
    <t>Sum of Amount</t>
  </si>
  <si>
    <t>Count of Payment Mode</t>
  </si>
  <si>
    <t>Jan</t>
  </si>
  <si>
    <t>Feb</t>
  </si>
  <si>
    <t>Mar</t>
  </si>
  <si>
    <t>Apr</t>
  </si>
  <si>
    <t>Total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</si>
</sst>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quot;₹&quot;\ #,##0.00"/>
    <numFmt numFmtId="173"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horizontal="right"/>
    </xf>
    <xf numFmtId="170" fontId="0" fillId="0" borderId="0" xfId="0" applyNumberFormat="1" applyAlignment="1">
      <alignment horizontal="right"/>
    </xf>
    <xf numFmtId="0" fontId="0" fillId="0" borderId="0" xfId="0" applyNumberFormat="1" applyAlignment="1">
      <alignment vertical="center" wrapText="1"/>
    </xf>
    <xf numFmtId="173" fontId="1" fillId="0" borderId="0" xfId="0" applyNumberFormat="1" applyFont="1" applyAlignment="1">
      <alignment horizontal="right" vertical="center" wrapText="1"/>
    </xf>
    <xf numFmtId="173" fontId="0" fillId="0" borderId="0" xfId="0" applyNumberFormat="1" applyAlignment="1">
      <alignment horizontal="right" vertical="center" wrapText="1"/>
    </xf>
    <xf numFmtId="173" fontId="0" fillId="0" borderId="0" xfId="0" applyNumberFormat="1" applyAlignment="1">
      <alignment horizontal="right"/>
    </xf>
    <xf numFmtId="173" fontId="0" fillId="0" borderId="0" xfId="0" applyNumberFormat="1"/>
    <xf numFmtId="0" fontId="0" fillId="0" borderId="0" xfId="0" pivotButton="1"/>
    <xf numFmtId="0" fontId="0" fillId="0" borderId="0" xfId="0" applyNumberFormat="1"/>
  </cellXfs>
  <cellStyles count="1">
    <cellStyle name="Normal" xfId="0" builtinId="0"/>
  </cellStyles>
  <dxfs count="14">
    <dxf>
      <numFmt numFmtId="173" formatCode="&quot;₹&quot;\ #,##0"/>
      <alignment horizontal="right"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s>
  <tableStyles count="0" defaultTableStyle="TableStyleMedium2" defaultPivotStyle="PivotStyleLight16"/>
  <colors>
    <mruColors>
      <color rgb="FFF7FD83"/>
      <color rgb="FFF2FAB8"/>
      <color rgb="FF8DBE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[expense_tracker.xlsx]Analysis!Category Wise Expense</c:name>
    <c:fmtId val="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Analysis!$E$3:$E$9</c:f>
              <c:strCache>
                <c:ptCount val="7"/>
                <c:pt idx="0">
                  <c:v>Bills</c:v>
                </c:pt>
                <c:pt idx="1">
                  <c:v>Education</c:v>
                </c:pt>
                <c:pt idx="2">
                  <c:v>Entertainment</c:v>
                </c:pt>
                <c:pt idx="3">
                  <c:v>Food</c:v>
                </c:pt>
                <c:pt idx="4">
                  <c:v>Health</c:v>
                </c:pt>
                <c:pt idx="5">
                  <c:v>Shopping</c:v>
                </c:pt>
                <c:pt idx="6">
                  <c:v>Travel</c:v>
                </c:pt>
              </c:strCache>
            </c:strRef>
          </c:cat>
          <c:val>
            <c:numRef>
              <c:f>Analysis!$F$3:$F$9</c:f>
              <c:numCache>
                <c:formatCode>"₹"\ #,##0</c:formatCode>
                <c:ptCount val="7"/>
                <c:pt idx="0">
                  <c:v>5600</c:v>
                </c:pt>
                <c:pt idx="1">
                  <c:v>4950</c:v>
                </c:pt>
                <c:pt idx="2">
                  <c:v>2598</c:v>
                </c:pt>
                <c:pt idx="3">
                  <c:v>3020</c:v>
                </c:pt>
                <c:pt idx="4">
                  <c:v>2400</c:v>
                </c:pt>
                <c:pt idx="5">
                  <c:v>11250</c:v>
                </c:pt>
                <c:pt idx="6">
                  <c:v>1920</c:v>
                </c:pt>
              </c:numCache>
            </c:numRef>
          </c:val>
          <c:extLst>
            <c:ext xmlns:c16="http://schemas.microsoft.com/office/drawing/2014/chart" uri="{C3380CC4-5D6E-409C-BE32-E72D297353CC}">
              <c16:uniqueId val="{00000001-B764-46DD-B6D0-8C1B57B4C13F}"/>
            </c:ext>
          </c:extLst>
        </c:ser>
        <c:dLbls>
          <c:dLblPos val="outEnd"/>
          <c:showLegendKey val="0"/>
          <c:showVal val="1"/>
          <c:showCatName val="0"/>
          <c:showSerName val="0"/>
          <c:showPercent val="0"/>
          <c:showBubbleSize val="0"/>
        </c:dLbls>
        <c:gapWidth val="46"/>
        <c:overlap val="-8"/>
        <c:axId val="2071550176"/>
        <c:axId val="2071539136"/>
      </c:barChart>
      <c:catAx>
        <c:axId val="207155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39136"/>
        <c:crosses val="autoZero"/>
        <c:auto val="1"/>
        <c:lblAlgn val="ctr"/>
        <c:lblOffset val="100"/>
        <c:noMultiLvlLbl val="0"/>
      </c:catAx>
      <c:valAx>
        <c:axId val="207153913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5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[expense_tracker.xlsx]Analysis!Monthly Expenses</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cmpd="sng">
            <a:solidFill>
              <a:schemeClr val="accent1"/>
            </a:solidFill>
            <a:round/>
            <a:head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Analysis!$L$2</c:f>
              <c:strCache>
                <c:ptCount val="1"/>
                <c:pt idx="0">
                  <c:v>Total</c:v>
                </c:pt>
              </c:strCache>
            </c:strRef>
          </c:tx>
          <c:spPr>
            <a:ln w="34925" cap="rnd" cmpd="sng">
              <a:solidFill>
                <a:schemeClr val="accent1"/>
              </a:solidFill>
              <a:round/>
              <a:headEnd type="none" w="sm" len="sm"/>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Analysis!$K$3:$K$6</c:f>
              <c:strCache>
                <c:ptCount val="4"/>
                <c:pt idx="0">
                  <c:v>Jan</c:v>
                </c:pt>
                <c:pt idx="1">
                  <c:v>Feb</c:v>
                </c:pt>
                <c:pt idx="2">
                  <c:v>Mar</c:v>
                </c:pt>
                <c:pt idx="3">
                  <c:v>Apr</c:v>
                </c:pt>
              </c:strCache>
            </c:strRef>
          </c:cat>
          <c:val>
            <c:numRef>
              <c:f>Analysis!$L$3:$L$6</c:f>
              <c:numCache>
                <c:formatCode>"₹"\ #,##0</c:formatCode>
                <c:ptCount val="4"/>
                <c:pt idx="0">
                  <c:v>9429</c:v>
                </c:pt>
                <c:pt idx="1">
                  <c:v>6640</c:v>
                </c:pt>
                <c:pt idx="2">
                  <c:v>9319</c:v>
                </c:pt>
                <c:pt idx="3">
                  <c:v>6350</c:v>
                </c:pt>
              </c:numCache>
            </c:numRef>
          </c:val>
          <c:smooth val="0"/>
          <c:extLst>
            <c:ext xmlns:c16="http://schemas.microsoft.com/office/drawing/2014/chart" uri="{C3380CC4-5D6E-409C-BE32-E72D297353CC}">
              <c16:uniqueId val="{00000000-30D8-49CC-BDE5-ADE37ADE20CD}"/>
            </c:ext>
          </c:extLst>
        </c:ser>
        <c:dLbls>
          <c:dLblPos val="t"/>
          <c:showLegendKey val="0"/>
          <c:showVal val="1"/>
          <c:showCatName val="0"/>
          <c:showSerName val="0"/>
          <c:showPercent val="0"/>
          <c:showBubbleSize val="0"/>
        </c:dLbls>
        <c:smooth val="0"/>
        <c:axId val="157454080"/>
        <c:axId val="157443520"/>
      </c:lineChart>
      <c:catAx>
        <c:axId val="15745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3520"/>
        <c:crosses val="autoZero"/>
        <c:auto val="1"/>
        <c:lblAlgn val="ctr"/>
        <c:lblOffset val="100"/>
        <c:noMultiLvlLbl val="0"/>
      </c:catAx>
      <c:valAx>
        <c:axId val="1574435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[expense_tracker.xlsx]Analysis!Payment Mode Usage</c:name>
    <c:fmtId val="12"/>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422363133977822"/>
          <c:y val="4.1604006818244527E-2"/>
          <c:w val="0.64167554115307812"/>
          <c:h val="0.89745883242960534"/>
        </c:manualLayout>
      </c:layout>
      <c:pieChart>
        <c:varyColors val="1"/>
        <c:ser>
          <c:idx val="0"/>
          <c:order val="0"/>
          <c:tx>
            <c:strRef>
              <c:f>Analysis!$I$2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C2-4C4F-9470-79AC3F6E721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C2-4C4F-9470-79AC3F6E721E}"/>
              </c:ext>
            </c:extLst>
          </c:dPt>
          <c:dPt>
            <c:idx val="2"/>
            <c:bubble3D val="0"/>
            <c:explosion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C2-4C4F-9470-79AC3F6E721E}"/>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Analysis!$H$3:$H$5</c:f>
              <c:strCache>
                <c:ptCount val="3"/>
                <c:pt idx="0">
                  <c:v>Card</c:v>
                </c:pt>
                <c:pt idx="1">
                  <c:v>Cash</c:v>
                </c:pt>
                <c:pt idx="2">
                  <c:v>UPI</c:v>
                </c:pt>
              </c:strCache>
            </c:strRef>
          </c:cat>
          <c:val>
            <c:numRef>
              <c:f>Analysis!$I$3:$I$5</c:f>
              <c:numCache>
                <c:formatCode>General</c:formatCode>
                <c:ptCount val="3"/>
                <c:pt idx="0">
                  <c:v>14</c:v>
                </c:pt>
                <c:pt idx="1">
                  <c:v>11</c:v>
                </c:pt>
                <c:pt idx="2">
                  <c:v>20</c:v>
                </c:pt>
              </c:numCache>
            </c:numRef>
          </c:val>
          <c:extLst>
            <c:ext xmlns:c16="http://schemas.microsoft.com/office/drawing/2014/chart" uri="{C3380CC4-5D6E-409C-BE32-E72D297353CC}">
              <c16:uniqueId val="{00000006-98C2-4C4F-9470-79AC3F6E721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161365</xdr:colOff>
      <xdr:row>0</xdr:row>
      <xdr:rowOff>50241</xdr:rowOff>
    </xdr:from>
    <xdr:to>
      <xdr:col>19</xdr:col>
      <xdr:colOff>128530</xdr:colOff>
      <xdr:row>2</xdr:row>
      <xdr:rowOff>0</xdr:rowOff>
    </xdr:to>
    <xdr:sp macro="" textlink="">
      <xdr:nvSpPr>
        <xdr:cNvPr id="2" name="Rectangle: Rounded Corners 1">
          <a:extLst>
            <a:ext uri="{FF2B5EF4-FFF2-40B4-BE49-F238E27FC236}">
              <a16:creationId xmlns:a16="http://schemas.microsoft.com/office/drawing/2014/main" id="{87F61437-F6DC-9C9A-FBD3-F3C8FB537684}"/>
            </a:ext>
          </a:extLst>
        </xdr:cNvPr>
        <xdr:cNvSpPr/>
      </xdr:nvSpPr>
      <xdr:spPr>
        <a:xfrm>
          <a:off x="161365" y="50241"/>
          <a:ext cx="11415094" cy="308347"/>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PERSONAL EXPENSE TRACKER DASHBOARD</a:t>
          </a:r>
        </a:p>
      </xdr:txBody>
    </xdr:sp>
    <xdr:clientData/>
  </xdr:twoCellAnchor>
  <xdr:twoCellAnchor editAs="oneCell">
    <xdr:from>
      <xdr:col>1</xdr:col>
      <xdr:colOff>1</xdr:colOff>
      <xdr:row>2</xdr:row>
      <xdr:rowOff>102913</xdr:rowOff>
    </xdr:from>
    <xdr:to>
      <xdr:col>18</xdr:col>
      <xdr:colOff>466657</xdr:colOff>
      <xdr:row>3</xdr:row>
      <xdr:rowOff>84137</xdr:rowOff>
    </xdr:to>
    <mc:AlternateContent xmlns:mc="http://schemas.openxmlformats.org/markup-compatibility/2006">
      <mc:Choice xmlns:a14="http://schemas.microsoft.com/office/drawing/2010/main" Requires="a14">
        <xdr:graphicFrame macro="">
          <xdr:nvGraphicFramePr>
            <xdr:cNvPr id="28" name="Month">
              <a:extLst>
                <a:ext uri="{FF2B5EF4-FFF2-40B4-BE49-F238E27FC236}">
                  <a16:creationId xmlns:a16="http://schemas.microsoft.com/office/drawing/2014/main" id="{FC9D4212-9F68-69F3-AF5D-B9EF053F252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5130" y="658725"/>
              <a:ext cx="10829856" cy="734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330769</xdr:colOff>
      <xdr:row>3</xdr:row>
      <xdr:rowOff>146891</xdr:rowOff>
    </xdr:from>
    <xdr:to>
      <xdr:col>6</xdr:col>
      <xdr:colOff>367229</xdr:colOff>
      <xdr:row>8</xdr:row>
      <xdr:rowOff>31010</xdr:rowOff>
    </xdr:to>
    <xdr:sp macro="" textlink="">
      <xdr:nvSpPr>
        <xdr:cNvPr id="3" name="Rectangle: Rounded Corners 2">
          <a:extLst>
            <a:ext uri="{FF2B5EF4-FFF2-40B4-BE49-F238E27FC236}">
              <a16:creationId xmlns:a16="http://schemas.microsoft.com/office/drawing/2014/main" id="{3CE9413E-3F31-642D-0773-327B8DE5F28B}"/>
            </a:ext>
          </a:extLst>
        </xdr:cNvPr>
        <xdr:cNvSpPr/>
      </xdr:nvSpPr>
      <xdr:spPr>
        <a:xfrm>
          <a:off x="330769" y="697734"/>
          <a:ext cx="3534315" cy="802192"/>
        </a:xfrm>
        <a:prstGeom prst="roundRect">
          <a:avLst/>
        </a:prstGeom>
        <a:solidFill>
          <a:schemeClr val="accent6">
            <a:lumMod val="40000"/>
            <a:lumOff val="60000"/>
          </a:schemeClr>
        </a:solidFill>
        <a:ln w="19050">
          <a:solidFill>
            <a:schemeClr val="accent6">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6">
                  <a:lumMod val="50000"/>
                </a:schemeClr>
              </a:solidFill>
            </a:rPr>
            <a:t>Total Expenses</a:t>
          </a:r>
        </a:p>
      </xdr:txBody>
    </xdr:sp>
    <xdr:clientData/>
  </xdr:twoCellAnchor>
  <xdr:twoCellAnchor>
    <xdr:from>
      <xdr:col>6</xdr:col>
      <xdr:colOff>560155</xdr:colOff>
      <xdr:row>3</xdr:row>
      <xdr:rowOff>146891</xdr:rowOff>
    </xdr:from>
    <xdr:to>
      <xdr:col>12</xdr:col>
      <xdr:colOff>458903</xdr:colOff>
      <xdr:row>8</xdr:row>
      <xdr:rowOff>31010</xdr:rowOff>
    </xdr:to>
    <xdr:sp macro="" textlink="">
      <xdr:nvSpPr>
        <xdr:cNvPr id="5" name="Rectangle: Rounded Corners 4">
          <a:extLst>
            <a:ext uri="{FF2B5EF4-FFF2-40B4-BE49-F238E27FC236}">
              <a16:creationId xmlns:a16="http://schemas.microsoft.com/office/drawing/2014/main" id="{40DA2DDA-6719-4E0E-BA05-37F53B09B9D7}"/>
            </a:ext>
          </a:extLst>
        </xdr:cNvPr>
        <xdr:cNvSpPr/>
      </xdr:nvSpPr>
      <xdr:spPr>
        <a:xfrm>
          <a:off x="4058010" y="697734"/>
          <a:ext cx="3534315" cy="802192"/>
        </a:xfrm>
        <a:prstGeom prst="roundRect">
          <a:avLst/>
        </a:prstGeom>
        <a:solidFill>
          <a:schemeClr val="accent4">
            <a:lumMod val="40000"/>
            <a:lumOff val="60000"/>
          </a:schemeClr>
        </a:solidFill>
        <a:ln w="19050">
          <a:solidFill>
            <a:schemeClr val="accent4">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4">
                  <a:lumMod val="50000"/>
                </a:schemeClr>
              </a:solidFill>
            </a:rPr>
            <a:t>Highest Expense</a:t>
          </a:r>
        </a:p>
      </xdr:txBody>
    </xdr:sp>
    <xdr:clientData/>
  </xdr:twoCellAnchor>
  <xdr:twoCellAnchor>
    <xdr:from>
      <xdr:col>13</xdr:col>
      <xdr:colOff>45903</xdr:colOff>
      <xdr:row>3</xdr:row>
      <xdr:rowOff>146891</xdr:rowOff>
    </xdr:from>
    <xdr:to>
      <xdr:col>18</xdr:col>
      <xdr:colOff>550579</xdr:colOff>
      <xdr:row>8</xdr:row>
      <xdr:rowOff>31010</xdr:rowOff>
    </xdr:to>
    <xdr:sp macro="" textlink="">
      <xdr:nvSpPr>
        <xdr:cNvPr id="6" name="Rectangle: Rounded Corners 5">
          <a:extLst>
            <a:ext uri="{FF2B5EF4-FFF2-40B4-BE49-F238E27FC236}">
              <a16:creationId xmlns:a16="http://schemas.microsoft.com/office/drawing/2014/main" id="{2A716D65-2247-4A48-9997-95BC411EC58A}"/>
            </a:ext>
          </a:extLst>
        </xdr:cNvPr>
        <xdr:cNvSpPr/>
      </xdr:nvSpPr>
      <xdr:spPr>
        <a:xfrm>
          <a:off x="7785252" y="697734"/>
          <a:ext cx="3534315" cy="802192"/>
        </a:xfrm>
        <a:prstGeom prst="roundRect">
          <a:avLst/>
        </a:prstGeom>
        <a:solidFill>
          <a:schemeClr val="accent5">
            <a:lumMod val="40000"/>
            <a:lumOff val="60000"/>
          </a:schemeClr>
        </a:solidFill>
        <a:ln w="19050">
          <a:solidFill>
            <a:schemeClr val="accent5">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rPr>
            <a:t>Average Expense</a:t>
          </a:r>
        </a:p>
      </xdr:txBody>
    </xdr:sp>
    <xdr:clientData/>
  </xdr:twoCellAnchor>
  <xdr:twoCellAnchor>
    <xdr:from>
      <xdr:col>0</xdr:col>
      <xdr:colOff>339687</xdr:colOff>
      <xdr:row>9</xdr:row>
      <xdr:rowOff>45904</xdr:rowOff>
    </xdr:from>
    <xdr:to>
      <xdr:col>6</xdr:col>
      <xdr:colOff>376147</xdr:colOff>
      <xdr:row>13</xdr:row>
      <xdr:rowOff>113638</xdr:rowOff>
    </xdr:to>
    <xdr:sp macro="" textlink="">
      <xdr:nvSpPr>
        <xdr:cNvPr id="7" name="Rectangle: Rounded Corners 6">
          <a:extLst>
            <a:ext uri="{FF2B5EF4-FFF2-40B4-BE49-F238E27FC236}">
              <a16:creationId xmlns:a16="http://schemas.microsoft.com/office/drawing/2014/main" id="{05CC8AD5-C8E2-4670-A5D7-D5E44B547889}"/>
            </a:ext>
          </a:extLst>
        </xdr:cNvPr>
        <xdr:cNvSpPr/>
      </xdr:nvSpPr>
      <xdr:spPr>
        <a:xfrm>
          <a:off x="339687" y="1698434"/>
          <a:ext cx="3534315" cy="802192"/>
        </a:xfrm>
        <a:prstGeom prst="roundRect">
          <a:avLst/>
        </a:prstGeom>
        <a:solidFill>
          <a:schemeClr val="tx2">
            <a:lumMod val="40000"/>
            <a:lumOff val="60000"/>
          </a:schemeClr>
        </a:solidFill>
        <a:ln w="19050">
          <a:solidFill>
            <a:schemeClr val="tx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2">
                  <a:lumMod val="50000"/>
                </a:schemeClr>
              </a:solidFill>
            </a:rPr>
            <a:t>Most Expensive Category</a:t>
          </a:r>
        </a:p>
      </xdr:txBody>
    </xdr:sp>
    <xdr:clientData/>
  </xdr:twoCellAnchor>
  <xdr:twoCellAnchor>
    <xdr:from>
      <xdr:col>6</xdr:col>
      <xdr:colOff>573796</xdr:colOff>
      <xdr:row>9</xdr:row>
      <xdr:rowOff>45904</xdr:rowOff>
    </xdr:from>
    <xdr:to>
      <xdr:col>12</xdr:col>
      <xdr:colOff>472544</xdr:colOff>
      <xdr:row>13</xdr:row>
      <xdr:rowOff>113638</xdr:rowOff>
    </xdr:to>
    <xdr:sp macro="" textlink="">
      <xdr:nvSpPr>
        <xdr:cNvPr id="8" name="Rectangle: Rounded Corners 7">
          <a:extLst>
            <a:ext uri="{FF2B5EF4-FFF2-40B4-BE49-F238E27FC236}">
              <a16:creationId xmlns:a16="http://schemas.microsoft.com/office/drawing/2014/main" id="{B655121C-47C9-4E4A-A2CC-94EDF0F30BA5}"/>
            </a:ext>
          </a:extLst>
        </xdr:cNvPr>
        <xdr:cNvSpPr/>
      </xdr:nvSpPr>
      <xdr:spPr>
        <a:xfrm>
          <a:off x="4071651" y="1698434"/>
          <a:ext cx="3534315" cy="802192"/>
        </a:xfrm>
        <a:prstGeom prst="roundRect">
          <a:avLst/>
        </a:prstGeom>
        <a:solidFill>
          <a:schemeClr val="accent2">
            <a:lumMod val="40000"/>
            <a:lumOff val="60000"/>
          </a:schemeClr>
        </a:solidFill>
        <a:ln w="19050">
          <a:solidFill>
            <a:schemeClr val="accent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2">
                  <a:lumMod val="50000"/>
                </a:schemeClr>
              </a:solidFill>
            </a:rPr>
            <a:t>Most Used Payment Mode</a:t>
          </a:r>
        </a:p>
      </xdr:txBody>
    </xdr:sp>
    <xdr:clientData/>
  </xdr:twoCellAnchor>
  <xdr:twoCellAnchor>
    <xdr:from>
      <xdr:col>13</xdr:col>
      <xdr:colOff>64266</xdr:colOff>
      <xdr:row>9</xdr:row>
      <xdr:rowOff>45904</xdr:rowOff>
    </xdr:from>
    <xdr:to>
      <xdr:col>18</xdr:col>
      <xdr:colOff>568942</xdr:colOff>
      <xdr:row>13</xdr:row>
      <xdr:rowOff>113638</xdr:rowOff>
    </xdr:to>
    <xdr:sp macro="" textlink="">
      <xdr:nvSpPr>
        <xdr:cNvPr id="9" name="Rectangle: Rounded Corners 8">
          <a:extLst>
            <a:ext uri="{FF2B5EF4-FFF2-40B4-BE49-F238E27FC236}">
              <a16:creationId xmlns:a16="http://schemas.microsoft.com/office/drawing/2014/main" id="{D2255FCD-F9FE-4F6B-8162-99BD2C2C0346}"/>
            </a:ext>
          </a:extLst>
        </xdr:cNvPr>
        <xdr:cNvSpPr/>
      </xdr:nvSpPr>
      <xdr:spPr>
        <a:xfrm>
          <a:off x="7803615" y="1698434"/>
          <a:ext cx="3534315" cy="802192"/>
        </a:xfrm>
        <a:prstGeom prst="roundRect">
          <a:avLst/>
        </a:prstGeom>
        <a:solidFill>
          <a:schemeClr val="accent4">
            <a:lumMod val="60000"/>
            <a:lumOff val="40000"/>
          </a:schemeClr>
        </a:solidFill>
        <a:ln w="19050">
          <a:solidFill>
            <a:schemeClr val="accent4">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4">
                  <a:lumMod val="50000"/>
                </a:schemeClr>
              </a:solidFill>
            </a:rPr>
            <a:t>Highest Spending Month</a:t>
          </a:r>
        </a:p>
      </xdr:txBody>
    </xdr:sp>
    <xdr:clientData/>
  </xdr:twoCellAnchor>
  <xdr:twoCellAnchor>
    <xdr:from>
      <xdr:col>2</xdr:col>
      <xdr:colOff>468217</xdr:colOff>
      <xdr:row>5</xdr:row>
      <xdr:rowOff>110169</xdr:rowOff>
    </xdr:from>
    <xdr:to>
      <xdr:col>4</xdr:col>
      <xdr:colOff>247879</xdr:colOff>
      <xdr:row>7</xdr:row>
      <xdr:rowOff>91808</xdr:rowOff>
    </xdr:to>
    <xdr:sp macro="" textlink="Analysis!C2">
      <xdr:nvSpPr>
        <xdr:cNvPr id="10" name="TextBox 9">
          <a:extLst>
            <a:ext uri="{FF2B5EF4-FFF2-40B4-BE49-F238E27FC236}">
              <a16:creationId xmlns:a16="http://schemas.microsoft.com/office/drawing/2014/main" id="{0E2BCD4D-8D10-DE14-A444-8C7C926B88C7}"/>
            </a:ext>
          </a:extLst>
        </xdr:cNvPr>
        <xdr:cNvSpPr txBox="1"/>
      </xdr:nvSpPr>
      <xdr:spPr>
        <a:xfrm>
          <a:off x="1542362" y="1028241"/>
          <a:ext cx="991517" cy="348868"/>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D5451A-21CC-452B-A480-FD781E1452B5}" type="TxLink">
            <a:rPr lang="en-US" sz="1600" b="0" i="0" u="none" strike="noStrike">
              <a:solidFill>
                <a:schemeClr val="accent6">
                  <a:lumMod val="50000"/>
                </a:schemeClr>
              </a:solidFill>
              <a:latin typeface="Calibri"/>
              <a:cs typeface="Calibri"/>
            </a:rPr>
            <a:t>₹ 31,738</a:t>
          </a:fld>
          <a:endParaRPr lang="en-US" sz="1600">
            <a:solidFill>
              <a:schemeClr val="accent6">
                <a:lumMod val="50000"/>
              </a:schemeClr>
            </a:solidFill>
          </a:endParaRPr>
        </a:p>
      </xdr:txBody>
    </xdr:sp>
    <xdr:clientData/>
  </xdr:twoCellAnchor>
  <xdr:twoCellAnchor>
    <xdr:from>
      <xdr:col>8</xdr:col>
      <xdr:colOff>578516</xdr:colOff>
      <xdr:row>5</xdr:row>
      <xdr:rowOff>119348</xdr:rowOff>
    </xdr:from>
    <xdr:to>
      <xdr:col>10</xdr:col>
      <xdr:colOff>358178</xdr:colOff>
      <xdr:row>7</xdr:row>
      <xdr:rowOff>100987</xdr:rowOff>
    </xdr:to>
    <xdr:sp macro="" textlink="Analysis!C3">
      <xdr:nvSpPr>
        <xdr:cNvPr id="11" name="TextBox 10">
          <a:extLst>
            <a:ext uri="{FF2B5EF4-FFF2-40B4-BE49-F238E27FC236}">
              <a16:creationId xmlns:a16="http://schemas.microsoft.com/office/drawing/2014/main" id="{28042D9F-0DBB-4107-9CE0-BA7FB552399A}"/>
            </a:ext>
          </a:extLst>
        </xdr:cNvPr>
        <xdr:cNvSpPr txBox="1"/>
      </xdr:nvSpPr>
      <xdr:spPr>
        <a:xfrm>
          <a:off x="5288227" y="1037420"/>
          <a:ext cx="991517" cy="348868"/>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B7ED0C-59C6-42E1-8F1E-55545C49A7AB}" type="TxLink">
            <a:rPr lang="en-US" sz="1600" b="0" i="0" u="none" strike="noStrike">
              <a:solidFill>
                <a:schemeClr val="accent4">
                  <a:lumMod val="50000"/>
                </a:schemeClr>
              </a:solidFill>
              <a:latin typeface="Calibri"/>
              <a:cs typeface="Calibri"/>
            </a:rPr>
            <a:pPr algn="ctr"/>
            <a:t>2500</a:t>
          </a:fld>
          <a:endParaRPr lang="en-US" sz="2400">
            <a:solidFill>
              <a:schemeClr val="accent4">
                <a:lumMod val="50000"/>
              </a:schemeClr>
            </a:solidFill>
          </a:endParaRPr>
        </a:p>
      </xdr:txBody>
    </xdr:sp>
    <xdr:clientData/>
  </xdr:twoCellAnchor>
  <xdr:twoCellAnchor>
    <xdr:from>
      <xdr:col>15</xdr:col>
      <xdr:colOff>137709</xdr:colOff>
      <xdr:row>5</xdr:row>
      <xdr:rowOff>119348</xdr:rowOff>
    </xdr:from>
    <xdr:to>
      <xdr:col>16</xdr:col>
      <xdr:colOff>523298</xdr:colOff>
      <xdr:row>7</xdr:row>
      <xdr:rowOff>100987</xdr:rowOff>
    </xdr:to>
    <xdr:sp macro="" textlink="Analysis!C5">
      <xdr:nvSpPr>
        <xdr:cNvPr id="12" name="TextBox 11">
          <a:extLst>
            <a:ext uri="{FF2B5EF4-FFF2-40B4-BE49-F238E27FC236}">
              <a16:creationId xmlns:a16="http://schemas.microsoft.com/office/drawing/2014/main" id="{1CEAEE6A-EA3F-498A-A525-DFFB7336FB7E}"/>
            </a:ext>
          </a:extLst>
        </xdr:cNvPr>
        <xdr:cNvSpPr txBox="1"/>
      </xdr:nvSpPr>
      <xdr:spPr>
        <a:xfrm>
          <a:off x="9088914" y="1037420"/>
          <a:ext cx="991517" cy="348868"/>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EADE1A-AB4A-457A-B626-B4F9807B3365}" type="TxLink">
            <a:rPr lang="en-US" sz="1600" b="0" i="0" u="none" strike="noStrike">
              <a:solidFill>
                <a:schemeClr val="accent5">
                  <a:lumMod val="50000"/>
                </a:schemeClr>
              </a:solidFill>
              <a:latin typeface="Calibri"/>
              <a:cs typeface="Calibri"/>
            </a:rPr>
            <a:t>₹ 705.29</a:t>
          </a:fld>
          <a:endParaRPr lang="en-US" sz="2400">
            <a:solidFill>
              <a:schemeClr val="accent5">
                <a:lumMod val="50000"/>
              </a:schemeClr>
            </a:solidFill>
          </a:endParaRPr>
        </a:p>
      </xdr:txBody>
    </xdr:sp>
    <xdr:clientData/>
  </xdr:twoCellAnchor>
  <xdr:twoCellAnchor>
    <xdr:from>
      <xdr:col>2</xdr:col>
      <xdr:colOff>459036</xdr:colOff>
      <xdr:row>11</xdr:row>
      <xdr:rowOff>36723</xdr:rowOff>
    </xdr:from>
    <xdr:to>
      <xdr:col>4</xdr:col>
      <xdr:colOff>238698</xdr:colOff>
      <xdr:row>13</xdr:row>
      <xdr:rowOff>18362</xdr:rowOff>
    </xdr:to>
    <xdr:sp macro="" textlink="Analysis!C6">
      <xdr:nvSpPr>
        <xdr:cNvPr id="13" name="TextBox 12">
          <a:extLst>
            <a:ext uri="{FF2B5EF4-FFF2-40B4-BE49-F238E27FC236}">
              <a16:creationId xmlns:a16="http://schemas.microsoft.com/office/drawing/2014/main" id="{C81C0CFD-A18F-4147-85B4-C952E5A7BBD6}"/>
            </a:ext>
          </a:extLst>
        </xdr:cNvPr>
        <xdr:cNvSpPr txBox="1"/>
      </xdr:nvSpPr>
      <xdr:spPr>
        <a:xfrm>
          <a:off x="1533181" y="2056482"/>
          <a:ext cx="991517" cy="348868"/>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C722F8-0497-4630-B2D0-16B23EEFA8D9}" type="TxLink">
            <a:rPr lang="en-US" sz="1600" b="0" i="0" u="none" strike="noStrike">
              <a:solidFill>
                <a:srgbClr val="000000"/>
              </a:solidFill>
              <a:latin typeface="Calibri"/>
              <a:cs typeface="Calibri"/>
            </a:rPr>
            <a:t>Shopping</a:t>
          </a:fld>
          <a:endParaRPr lang="en-US" sz="2400">
            <a:solidFill>
              <a:schemeClr val="tx2">
                <a:lumMod val="50000"/>
              </a:schemeClr>
            </a:solidFill>
          </a:endParaRPr>
        </a:p>
      </xdr:txBody>
    </xdr:sp>
    <xdr:clientData/>
  </xdr:twoCellAnchor>
  <xdr:twoCellAnchor>
    <xdr:from>
      <xdr:col>9</xdr:col>
      <xdr:colOff>4590</xdr:colOff>
      <xdr:row>11</xdr:row>
      <xdr:rowOff>36723</xdr:rowOff>
    </xdr:from>
    <xdr:to>
      <xdr:col>10</xdr:col>
      <xdr:colOff>390180</xdr:colOff>
      <xdr:row>13</xdr:row>
      <xdr:rowOff>18362</xdr:rowOff>
    </xdr:to>
    <xdr:sp macro="" textlink="Analysis!C7">
      <xdr:nvSpPr>
        <xdr:cNvPr id="14" name="TextBox 13">
          <a:extLst>
            <a:ext uri="{FF2B5EF4-FFF2-40B4-BE49-F238E27FC236}">
              <a16:creationId xmlns:a16="http://schemas.microsoft.com/office/drawing/2014/main" id="{E4C80ACD-35C4-4EAB-A801-6E6B16D9EBF2}"/>
            </a:ext>
          </a:extLst>
        </xdr:cNvPr>
        <xdr:cNvSpPr txBox="1"/>
      </xdr:nvSpPr>
      <xdr:spPr>
        <a:xfrm>
          <a:off x="5320229" y="2056482"/>
          <a:ext cx="991517" cy="34886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E7F079-E3A8-4E3E-9757-1406DA58233C}" type="TxLink">
            <a:rPr lang="en-US" sz="1600" b="0" i="0" u="none" strike="noStrike">
              <a:solidFill>
                <a:schemeClr val="accent2">
                  <a:lumMod val="50000"/>
                </a:schemeClr>
              </a:solidFill>
              <a:latin typeface="Calibri"/>
              <a:cs typeface="Calibri"/>
            </a:rPr>
            <a:pPr algn="ctr"/>
            <a:t>UPI</a:t>
          </a:fld>
          <a:endParaRPr lang="en-US" sz="2400">
            <a:solidFill>
              <a:schemeClr val="accent2">
                <a:lumMod val="50000"/>
              </a:schemeClr>
            </a:solidFill>
          </a:endParaRPr>
        </a:p>
      </xdr:txBody>
    </xdr:sp>
    <xdr:clientData/>
  </xdr:twoCellAnchor>
  <xdr:twoCellAnchor>
    <xdr:from>
      <xdr:col>15</xdr:col>
      <xdr:colOff>165253</xdr:colOff>
      <xdr:row>11</xdr:row>
      <xdr:rowOff>36723</xdr:rowOff>
    </xdr:from>
    <xdr:to>
      <xdr:col>16</xdr:col>
      <xdr:colOff>550842</xdr:colOff>
      <xdr:row>13</xdr:row>
      <xdr:rowOff>18362</xdr:rowOff>
    </xdr:to>
    <xdr:sp macro="" textlink="Analysis!C8">
      <xdr:nvSpPr>
        <xdr:cNvPr id="15" name="TextBox 14">
          <a:extLst>
            <a:ext uri="{FF2B5EF4-FFF2-40B4-BE49-F238E27FC236}">
              <a16:creationId xmlns:a16="http://schemas.microsoft.com/office/drawing/2014/main" id="{604B5447-821B-4230-A14F-1824D7D2E89D}"/>
            </a:ext>
          </a:extLst>
        </xdr:cNvPr>
        <xdr:cNvSpPr txBox="1"/>
      </xdr:nvSpPr>
      <xdr:spPr>
        <a:xfrm>
          <a:off x="9116458" y="2056482"/>
          <a:ext cx="991517" cy="348868"/>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8FF53E-3759-400F-AB84-DC97602F0964}" type="TxLink">
            <a:rPr lang="en-US" sz="1600" b="0" i="0" u="none" strike="noStrike">
              <a:solidFill>
                <a:schemeClr val="accent4">
                  <a:lumMod val="50000"/>
                </a:schemeClr>
              </a:solidFill>
              <a:latin typeface="Calibri"/>
              <a:cs typeface="Calibri"/>
            </a:rPr>
            <a:pPr algn="ctr"/>
            <a:t>Jan</a:t>
          </a:fld>
          <a:endParaRPr lang="en-US" sz="2400">
            <a:solidFill>
              <a:schemeClr val="accent4">
                <a:lumMod val="50000"/>
              </a:schemeClr>
            </a:solidFill>
          </a:endParaRPr>
        </a:p>
      </xdr:txBody>
    </xdr:sp>
    <xdr:clientData/>
  </xdr:twoCellAnchor>
  <xdr:twoCellAnchor>
    <xdr:from>
      <xdr:col>0</xdr:col>
      <xdr:colOff>275421</xdr:colOff>
      <xdr:row>14</xdr:row>
      <xdr:rowOff>55085</xdr:rowOff>
    </xdr:from>
    <xdr:to>
      <xdr:col>6</xdr:col>
      <xdr:colOff>339687</xdr:colOff>
      <xdr:row>30</xdr:row>
      <xdr:rowOff>165253</xdr:rowOff>
    </xdr:to>
    <xdr:sp macro="" textlink="">
      <xdr:nvSpPr>
        <xdr:cNvPr id="17" name="Rectangle: Top Corners Rounded 16">
          <a:extLst>
            <a:ext uri="{FF2B5EF4-FFF2-40B4-BE49-F238E27FC236}">
              <a16:creationId xmlns:a16="http://schemas.microsoft.com/office/drawing/2014/main" id="{65C83938-1477-32DE-B0DE-F2778E48FDE4}"/>
            </a:ext>
          </a:extLst>
        </xdr:cNvPr>
        <xdr:cNvSpPr/>
      </xdr:nvSpPr>
      <xdr:spPr>
        <a:xfrm>
          <a:off x="275421" y="2625687"/>
          <a:ext cx="3562121" cy="3048000"/>
        </a:xfrm>
        <a:prstGeom prst="round2SameRect">
          <a:avLst/>
        </a:prstGeom>
        <a:solidFill>
          <a:schemeClr val="bg1"/>
        </a:solidFill>
        <a:ln w="190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50000"/>
                </a:schemeClr>
              </a:solidFill>
            </a:rPr>
            <a:t>Expense by Category</a:t>
          </a:r>
        </a:p>
      </xdr:txBody>
    </xdr:sp>
    <xdr:clientData/>
  </xdr:twoCellAnchor>
  <xdr:twoCellAnchor>
    <xdr:from>
      <xdr:col>6</xdr:col>
      <xdr:colOff>532483</xdr:colOff>
      <xdr:row>14</xdr:row>
      <xdr:rowOff>45905</xdr:rowOff>
    </xdr:from>
    <xdr:to>
      <xdr:col>12</xdr:col>
      <xdr:colOff>459037</xdr:colOff>
      <xdr:row>30</xdr:row>
      <xdr:rowOff>156073</xdr:rowOff>
    </xdr:to>
    <xdr:sp macro="" textlink="">
      <xdr:nvSpPr>
        <xdr:cNvPr id="20" name="Rectangle: Top Corners Rounded 19">
          <a:extLst>
            <a:ext uri="{FF2B5EF4-FFF2-40B4-BE49-F238E27FC236}">
              <a16:creationId xmlns:a16="http://schemas.microsoft.com/office/drawing/2014/main" id="{F8A0C41E-C6BB-4D89-A7E2-633F8E38FBDF}"/>
            </a:ext>
          </a:extLst>
        </xdr:cNvPr>
        <xdr:cNvSpPr/>
      </xdr:nvSpPr>
      <xdr:spPr>
        <a:xfrm>
          <a:off x="4030338" y="2616507"/>
          <a:ext cx="3562121" cy="3048000"/>
        </a:xfrm>
        <a:prstGeom prst="round2SameRect">
          <a:avLst/>
        </a:prstGeom>
        <a:solidFill>
          <a:schemeClr val="bg1"/>
        </a:solidFill>
        <a:ln w="19050">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5">
                  <a:lumMod val="50000"/>
                </a:schemeClr>
              </a:solidFill>
            </a:rPr>
            <a:t>Monthly Expense Trend</a:t>
          </a:r>
        </a:p>
      </xdr:txBody>
    </xdr:sp>
    <xdr:clientData/>
  </xdr:twoCellAnchor>
  <xdr:twoCellAnchor>
    <xdr:from>
      <xdr:col>13</xdr:col>
      <xdr:colOff>55085</xdr:colOff>
      <xdr:row>14</xdr:row>
      <xdr:rowOff>55085</xdr:rowOff>
    </xdr:from>
    <xdr:to>
      <xdr:col>18</xdr:col>
      <xdr:colOff>587567</xdr:colOff>
      <xdr:row>30</xdr:row>
      <xdr:rowOff>165253</xdr:rowOff>
    </xdr:to>
    <xdr:sp macro="" textlink="">
      <xdr:nvSpPr>
        <xdr:cNvPr id="21" name="Rectangle: Top Corners Rounded 20">
          <a:extLst>
            <a:ext uri="{FF2B5EF4-FFF2-40B4-BE49-F238E27FC236}">
              <a16:creationId xmlns:a16="http://schemas.microsoft.com/office/drawing/2014/main" id="{CDF6AFB0-239B-4E3A-BB18-38C77A1D3029}"/>
            </a:ext>
          </a:extLst>
        </xdr:cNvPr>
        <xdr:cNvSpPr/>
      </xdr:nvSpPr>
      <xdr:spPr>
        <a:xfrm>
          <a:off x="7845414" y="3336167"/>
          <a:ext cx="3580482" cy="2978874"/>
        </a:xfrm>
        <a:prstGeom prst="round2SameRect">
          <a:avLst/>
        </a:prstGeom>
        <a:solidFill>
          <a:schemeClr val="bg1"/>
        </a:solidFill>
        <a:ln w="19050">
          <a:solidFill>
            <a:srgbClr val="7030A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7030A0"/>
              </a:solidFill>
            </a:rPr>
            <a:t>Payment Mode Distribution</a:t>
          </a:r>
        </a:p>
      </xdr:txBody>
    </xdr:sp>
    <xdr:clientData/>
  </xdr:twoCellAnchor>
  <xdr:twoCellAnchor>
    <xdr:from>
      <xdr:col>0</xdr:col>
      <xdr:colOff>440674</xdr:colOff>
      <xdr:row>16</xdr:row>
      <xdr:rowOff>146893</xdr:rowOff>
    </xdr:from>
    <xdr:to>
      <xdr:col>6</xdr:col>
      <xdr:colOff>220337</xdr:colOff>
      <xdr:row>30</xdr:row>
      <xdr:rowOff>156073</xdr:rowOff>
    </xdr:to>
    <xdr:graphicFrame macro="">
      <xdr:nvGraphicFramePr>
        <xdr:cNvPr id="22" name="Chart 21">
          <a:extLst>
            <a:ext uri="{FF2B5EF4-FFF2-40B4-BE49-F238E27FC236}">
              <a16:creationId xmlns:a16="http://schemas.microsoft.com/office/drawing/2014/main" id="{D629BC77-FD88-4218-B60E-4EFDD058C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9181</xdr:colOff>
      <xdr:row>16</xdr:row>
      <xdr:rowOff>137712</xdr:rowOff>
    </xdr:from>
    <xdr:to>
      <xdr:col>12</xdr:col>
      <xdr:colOff>394770</xdr:colOff>
      <xdr:row>30</xdr:row>
      <xdr:rowOff>135875</xdr:rowOff>
    </xdr:to>
    <xdr:graphicFrame macro="">
      <xdr:nvGraphicFramePr>
        <xdr:cNvPr id="23" name="Chart 22">
          <a:extLst>
            <a:ext uri="{FF2B5EF4-FFF2-40B4-BE49-F238E27FC236}">
              <a16:creationId xmlns:a16="http://schemas.microsoft.com/office/drawing/2014/main" id="{E07EAA1F-C60D-4872-9F2C-E3CA571A6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110169</xdr:colOff>
      <xdr:row>16</xdr:row>
      <xdr:rowOff>137711</xdr:rowOff>
    </xdr:from>
    <xdr:to>
      <xdr:col>18</xdr:col>
      <xdr:colOff>560024</xdr:colOff>
      <xdr:row>30</xdr:row>
      <xdr:rowOff>128530</xdr:rowOff>
    </xdr:to>
    <xdr:graphicFrame macro="">
      <xdr:nvGraphicFramePr>
        <xdr:cNvPr id="26" name="Chart 25">
          <a:extLst>
            <a:ext uri="{FF2B5EF4-FFF2-40B4-BE49-F238E27FC236}">
              <a16:creationId xmlns:a16="http://schemas.microsoft.com/office/drawing/2014/main" id="{3B1092BD-212C-4004-956E-8D0EFC80C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 Savaliya" refreshedDate="46187.444026851852" createdVersion="8" refreshedVersion="8" minRefreshableVersion="3" recordCount="45" xr:uid="{1AA2856F-CA59-4281-A063-F9CF272FE908}">
  <cacheSource type="worksheet">
    <worksheetSource name="ExpenseTable"/>
  </cacheSource>
  <cacheFields count="7">
    <cacheField name="Date" numFmtId="15">
      <sharedItems containsSemiMixedTypes="0" containsNonDate="0" containsDate="1" containsString="0" minDate="2026-01-01T00:00:00" maxDate="2026-04-29T00:00:00"/>
    </cacheField>
    <cacheField name="Category" numFmtId="0">
      <sharedItems count="7">
        <s v="Food"/>
        <s v="Travel"/>
        <s v="Shopping"/>
        <s v="Entertainment"/>
        <s v="Bills"/>
        <s v="Health"/>
        <s v="Education"/>
      </sharedItems>
    </cacheField>
    <cacheField name="Description" numFmtId="0">
      <sharedItems/>
    </cacheField>
    <cacheField name="Payment Mode" numFmtId="0">
      <sharedItems count="3">
        <s v="UPI"/>
        <s v="Cash"/>
        <s v="Card"/>
      </sharedItems>
    </cacheField>
    <cacheField name="Amount" numFmtId="173">
      <sharedItems containsSemiMixedTypes="0" containsString="0" containsNumber="1" containsInteger="1" minValue="50" maxValue="2500"/>
    </cacheField>
    <cacheField name="Month" numFmtId="0">
      <sharedItems count="4">
        <s v="Jan"/>
        <s v="Feb"/>
        <s v="Mar"/>
        <s v="Apr"/>
      </sharedItems>
    </cacheField>
    <cacheField name="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pivotCacheId="1992912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d v="2026-01-01T00:00:00"/>
    <x v="0"/>
    <s v="Lunch"/>
    <x v="0"/>
    <n v="200"/>
    <x v="0"/>
    <n v="2026"/>
  </r>
  <r>
    <d v="2026-01-02T00:00:00"/>
    <x v="1"/>
    <s v="Bus Ticket"/>
    <x v="1"/>
    <n v="50"/>
    <x v="0"/>
    <n v="2026"/>
  </r>
  <r>
    <d v="2026-01-03T00:00:00"/>
    <x v="2"/>
    <s v="Clothes"/>
    <x v="2"/>
    <n v="1500"/>
    <x v="0"/>
    <n v="2026"/>
  </r>
  <r>
    <d v="2026-01-04T00:00:00"/>
    <x v="0"/>
    <s v="Dinner"/>
    <x v="0"/>
    <n v="300"/>
    <x v="0"/>
    <n v="2026"/>
  </r>
  <r>
    <d v="2026-01-05T00:00:00"/>
    <x v="3"/>
    <s v="Movie"/>
    <x v="2"/>
    <n v="500"/>
    <x v="0"/>
    <n v="2026"/>
  </r>
  <r>
    <d v="2026-01-06T00:00:00"/>
    <x v="4"/>
    <s v="Electricity Bill"/>
    <x v="0"/>
    <n v="1200"/>
    <x v="0"/>
    <n v="2026"/>
  </r>
  <r>
    <d v="2026-01-07T00:00:00"/>
    <x v="0"/>
    <s v="Breakfast"/>
    <x v="1"/>
    <n v="100"/>
    <x v="0"/>
    <n v="2026"/>
  </r>
  <r>
    <d v="2026-01-08T00:00:00"/>
    <x v="1"/>
    <s v="Auto Fare"/>
    <x v="1"/>
    <n v="80"/>
    <x v="0"/>
    <n v="2026"/>
  </r>
  <r>
    <d v="2026-01-09T00:00:00"/>
    <x v="2"/>
    <s v="Shoes"/>
    <x v="2"/>
    <n v="2500"/>
    <x v="0"/>
    <n v="2026"/>
  </r>
  <r>
    <d v="2026-01-10T00:00:00"/>
    <x v="4"/>
    <s v="Internet Bill"/>
    <x v="0"/>
    <n v="700"/>
    <x v="0"/>
    <n v="2026"/>
  </r>
  <r>
    <d v="2026-01-11T00:00:00"/>
    <x v="3"/>
    <s v="Netflix"/>
    <x v="0"/>
    <n v="199"/>
    <x v="0"/>
    <n v="2026"/>
  </r>
  <r>
    <d v="2026-01-12T00:00:00"/>
    <x v="0"/>
    <s v="Snacks"/>
    <x v="1"/>
    <n v="150"/>
    <x v="0"/>
    <n v="2026"/>
  </r>
  <r>
    <d v="2026-01-13T00:00:00"/>
    <x v="5"/>
    <s v="Medicines"/>
    <x v="0"/>
    <n v="600"/>
    <x v="0"/>
    <n v="2026"/>
  </r>
  <r>
    <d v="2026-01-14T00:00:00"/>
    <x v="6"/>
    <s v="Books"/>
    <x v="2"/>
    <n v="900"/>
    <x v="0"/>
    <n v="2026"/>
  </r>
  <r>
    <d v="2026-01-15T00:00:00"/>
    <x v="1"/>
    <s v="Train Ticket"/>
    <x v="0"/>
    <n v="450"/>
    <x v="0"/>
    <n v="2026"/>
  </r>
  <r>
    <d v="2026-02-02T00:00:00"/>
    <x v="0"/>
    <s v="Pizza"/>
    <x v="0"/>
    <n v="400"/>
    <x v="1"/>
    <n v="2026"/>
  </r>
  <r>
    <d v="2026-02-04T00:00:00"/>
    <x v="1"/>
    <s v="Cab Fare"/>
    <x v="1"/>
    <n v="180"/>
    <x v="1"/>
    <n v="2026"/>
  </r>
  <r>
    <d v="2026-02-06T00:00:00"/>
    <x v="2"/>
    <s v="Handbag"/>
    <x v="2"/>
    <n v="1800"/>
    <x v="1"/>
    <n v="2026"/>
  </r>
  <r>
    <d v="2026-02-09T00:00:00"/>
    <x v="4"/>
    <s v="Water Bill"/>
    <x v="0"/>
    <n v="500"/>
    <x v="1"/>
    <n v="2026"/>
  </r>
  <r>
    <d v="2026-02-12T00:00:00"/>
    <x v="3"/>
    <s v="Concert Ticket"/>
    <x v="2"/>
    <n v="1200"/>
    <x v="1"/>
    <n v="2026"/>
  </r>
  <r>
    <d v="2026-02-15T00:00:00"/>
    <x v="5"/>
    <s v="Doctor Visit"/>
    <x v="1"/>
    <n v="800"/>
    <x v="1"/>
    <n v="2026"/>
  </r>
  <r>
    <d v="2026-02-18T00:00:00"/>
    <x v="0"/>
    <s v="Dinner"/>
    <x v="0"/>
    <n v="350"/>
    <x v="1"/>
    <n v="2026"/>
  </r>
  <r>
    <d v="2026-02-22T00:00:00"/>
    <x v="6"/>
    <s v="Stationery"/>
    <x v="2"/>
    <n v="450"/>
    <x v="1"/>
    <n v="2026"/>
  </r>
  <r>
    <d v="2026-02-25T00:00:00"/>
    <x v="1"/>
    <s v="Bus Ticket"/>
    <x v="1"/>
    <n v="60"/>
    <x v="1"/>
    <n v="2026"/>
  </r>
  <r>
    <d v="2026-02-28T00:00:00"/>
    <x v="4"/>
    <s v="Gas Bill"/>
    <x v="0"/>
    <n v="900"/>
    <x v="1"/>
    <n v="2026"/>
  </r>
  <r>
    <d v="2026-03-02T00:00:00"/>
    <x v="0"/>
    <s v="Restaurant"/>
    <x v="2"/>
    <n v="650"/>
    <x v="2"/>
    <n v="2026"/>
  </r>
  <r>
    <d v="2026-03-05T00:00:00"/>
    <x v="2"/>
    <s v="Shoes"/>
    <x v="2"/>
    <n v="2200"/>
    <x v="2"/>
    <n v="2026"/>
  </r>
  <r>
    <d v="2026-03-08T00:00:00"/>
    <x v="6"/>
    <s v="Online Course"/>
    <x v="0"/>
    <n v="2500"/>
    <x v="2"/>
    <n v="2026"/>
  </r>
  <r>
    <d v="2026-03-11T00:00:00"/>
    <x v="3"/>
    <s v="OTT Subscription"/>
    <x v="0"/>
    <n v="299"/>
    <x v="2"/>
    <n v="2026"/>
  </r>
  <r>
    <d v="2026-03-14T00:00:00"/>
    <x v="1"/>
    <s v="Train Ticket"/>
    <x v="0"/>
    <n v="700"/>
    <x v="2"/>
    <n v="2026"/>
  </r>
  <r>
    <d v="2026-03-17T00:00:00"/>
    <x v="5"/>
    <s v="Medicines"/>
    <x v="1"/>
    <n v="550"/>
    <x v="2"/>
    <n v="2026"/>
  </r>
  <r>
    <d v="2026-03-20T00:00:00"/>
    <x v="0"/>
    <s v="Snacks"/>
    <x v="1"/>
    <n v="120"/>
    <x v="2"/>
    <n v="2026"/>
  </r>
  <r>
    <d v="2026-03-23T00:00:00"/>
    <x v="4"/>
    <s v="Electricity Bill"/>
    <x v="0"/>
    <n v="1300"/>
    <x v="2"/>
    <n v="2026"/>
  </r>
  <r>
    <d v="2026-03-26T00:00:00"/>
    <x v="2"/>
    <s v="Accessories"/>
    <x v="2"/>
    <n v="900"/>
    <x v="2"/>
    <n v="2026"/>
  </r>
  <r>
    <d v="2026-03-29T00:00:00"/>
    <x v="1"/>
    <s v="Auto Fare"/>
    <x v="1"/>
    <n v="100"/>
    <x v="2"/>
    <n v="2026"/>
  </r>
  <r>
    <d v="2026-04-01T00:00:00"/>
    <x v="0"/>
    <s v="Lunch"/>
    <x v="0"/>
    <n v="250"/>
    <x v="3"/>
    <n v="2026"/>
  </r>
  <r>
    <d v="2026-04-04T00:00:00"/>
    <x v="4"/>
    <s v="Mobile Recharge"/>
    <x v="0"/>
    <n v="300"/>
    <x v="3"/>
    <n v="2026"/>
  </r>
  <r>
    <d v="2026-04-07T00:00:00"/>
    <x v="2"/>
    <s v="T-Shirt"/>
    <x v="2"/>
    <n v="850"/>
    <x v="3"/>
    <n v="2026"/>
  </r>
  <r>
    <d v="2026-04-10T00:00:00"/>
    <x v="6"/>
    <s v="Books"/>
    <x v="2"/>
    <n v="1100"/>
    <x v="3"/>
    <n v="2026"/>
  </r>
  <r>
    <d v="2026-04-13T00:00:00"/>
    <x v="3"/>
    <s v="Movie"/>
    <x v="1"/>
    <n v="400"/>
    <x v="3"/>
    <n v="2026"/>
  </r>
  <r>
    <d v="2026-04-16T00:00:00"/>
    <x v="1"/>
    <s v="Metro Card Recharge"/>
    <x v="0"/>
    <n v="300"/>
    <x v="3"/>
    <n v="2026"/>
  </r>
  <r>
    <d v="2026-04-19T00:00:00"/>
    <x v="5"/>
    <s v="Vitamins"/>
    <x v="0"/>
    <n v="450"/>
    <x v="3"/>
    <n v="2026"/>
  </r>
  <r>
    <d v="2026-04-22T00:00:00"/>
    <x v="0"/>
    <s v="Dinner"/>
    <x v="2"/>
    <n v="500"/>
    <x v="3"/>
    <n v="2026"/>
  </r>
  <r>
    <d v="2026-04-25T00:00:00"/>
    <x v="4"/>
    <s v="Internet Bill"/>
    <x v="0"/>
    <n v="700"/>
    <x v="3"/>
    <n v="2026"/>
  </r>
  <r>
    <d v="2026-04-28T00:00:00"/>
    <x v="2"/>
    <s v="Earphones"/>
    <x v="2"/>
    <n v="1500"/>
    <x v="3"/>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34931-9C0E-481E-B554-41DC61999021}" name="Monthly Expenses"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Month">
  <location ref="K2:L6" firstHeaderRow="1" firstDataRow="1" firstDataCol="1"/>
  <pivotFields count="7">
    <pivotField numFmtId="15" showAll="0"/>
    <pivotField showAll="0"/>
    <pivotField showAll="0"/>
    <pivotField showAll="0"/>
    <pivotField dataField="1" numFmtId="173" showAll="0"/>
    <pivotField axis="axisRow" showAll="0">
      <items count="5">
        <item x="0"/>
        <item x="1"/>
        <item x="2"/>
        <item x="3"/>
        <item t="default"/>
      </items>
    </pivotField>
    <pivotField showAll="0"/>
  </pivotFields>
  <rowFields count="1">
    <field x="5"/>
  </rowFields>
  <rowItems count="4">
    <i>
      <x/>
    </i>
    <i>
      <x v="1"/>
    </i>
    <i>
      <x v="2"/>
    </i>
    <i>
      <x v="3"/>
    </i>
  </rowItems>
  <colItems count="1">
    <i/>
  </colItems>
  <dataFields count="1">
    <dataField name="Sum of Amount" fld="4" baseField="0" baseItem="0" numFmtId="173"/>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7B2BEA-AAC6-487B-B1ED-919330F4C3DD}" name="Payment Mode Usage"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Payment Mode">
  <location ref="H2:I5" firstHeaderRow="1" firstDataRow="1" firstDataCol="1"/>
  <pivotFields count="7">
    <pivotField numFmtId="15" showAll="0"/>
    <pivotField showAll="0"/>
    <pivotField showAll="0"/>
    <pivotField axis="axisRow" dataField="1" showAll="0">
      <items count="4">
        <item x="2"/>
        <item x="1"/>
        <item x="0"/>
        <item t="default"/>
      </items>
    </pivotField>
    <pivotField numFmtId="173" showAll="0"/>
    <pivotField showAll="0">
      <items count="5">
        <item x="0"/>
        <item x="1"/>
        <item x="2"/>
        <item x="3"/>
        <item t="default"/>
      </items>
    </pivotField>
    <pivotField showAll="0"/>
  </pivotFields>
  <rowFields count="1">
    <field x="3"/>
  </rowFields>
  <rowItems count="3">
    <i>
      <x/>
    </i>
    <i>
      <x v="1"/>
    </i>
    <i>
      <x v="2"/>
    </i>
  </rowItems>
  <colItems count="1">
    <i/>
  </colItems>
  <dataFields count="1">
    <dataField name="Count of Payment Mode" fld="3" subtotal="count" baseField="0" baseItem="0"/>
  </dataFields>
  <chartFormats count="4">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3" count="1" selected="0">
            <x v="0"/>
          </reference>
        </references>
      </pivotArea>
    </chartFormat>
    <chartFormat chart="12" format="23">
      <pivotArea type="data" outline="0" fieldPosition="0">
        <references count="2">
          <reference field="4294967294" count="1" selected="0">
            <x v="0"/>
          </reference>
          <reference field="3" count="1" selected="0">
            <x v="1"/>
          </reference>
        </references>
      </pivotArea>
    </chartFormat>
    <chartFormat chart="12" format="2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C5604-723E-4719-9556-A622925050FA}" name="Category Wise Expense"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Category">
  <location ref="E2:F9" firstHeaderRow="1" firstDataRow="1" firstDataCol="1"/>
  <pivotFields count="7">
    <pivotField numFmtId="15" showAll="0"/>
    <pivotField axis="axisRow" showAll="0">
      <items count="8">
        <item x="4"/>
        <item x="6"/>
        <item x="3"/>
        <item x="0"/>
        <item x="5"/>
        <item x="2"/>
        <item x="1"/>
        <item t="default"/>
      </items>
    </pivotField>
    <pivotField showAll="0"/>
    <pivotField showAll="0"/>
    <pivotField dataField="1" numFmtId="173" showAll="0"/>
    <pivotField showAll="0">
      <items count="5">
        <item x="0"/>
        <item x="1"/>
        <item x="2"/>
        <item x="3"/>
        <item t="default"/>
      </items>
    </pivotField>
    <pivotField showAll="0"/>
  </pivotFields>
  <rowFields count="1">
    <field x="1"/>
  </rowFields>
  <rowItems count="7">
    <i>
      <x/>
    </i>
    <i>
      <x v="1"/>
    </i>
    <i>
      <x v="2"/>
    </i>
    <i>
      <x v="3"/>
    </i>
    <i>
      <x v="4"/>
    </i>
    <i>
      <x v="5"/>
    </i>
    <i>
      <x v="6"/>
    </i>
  </rowItems>
  <colItems count="1">
    <i/>
  </colItems>
  <dataFields count="1">
    <dataField name="Total Expense" fld="4" baseField="1" baseItem="0" numFmtId="173"/>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BEC5B52-1083-495C-BC34-DE0BDA29E387}" sourceName="Month">
  <pivotTables>
    <pivotTable tabId="2" name="Category Wise Expense"/>
    <pivotTable tabId="2" name="Monthly Expenses"/>
    <pivotTable tabId="2" name="Payment Mode Usage"/>
  </pivotTables>
  <data>
    <tabular pivotCacheId="199291294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9D7F3A-73F5-4EDF-988D-3BCC8A02DFC8}" cache="Slicer_Month" caption="Month" columnCount="4" style="SlicerStyleDark6"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5401D8-D10E-4CB1-837F-F3A5A926933C}" name="ExpenseTable" displayName="ExpenseTable" ref="A1:G46" headerRowDxfId="9" dataDxfId="10">
  <autoFilter ref="A1:G46" xr:uid="{285401D8-D10E-4CB1-837F-F3A5A926933C}"/>
  <tableColumns count="7">
    <tableColumn id="1" xr3:uid="{233ADEB0-8D76-419F-BAF9-5FAEF2F00265}" name="Date" totalsRowLabel="Total" dataDxfId="13" totalsRowDxfId="5"/>
    <tableColumn id="2" xr3:uid="{BC3CFD5C-FF22-4B5B-98F1-5F33D9F70530}" name="Category" dataDxfId="12" totalsRowDxfId="6"/>
    <tableColumn id="3" xr3:uid="{0EA92C6A-2F99-4F65-ADED-775F5432D14F}" name="Description" dataDxfId="11" totalsRowDxfId="7"/>
    <tableColumn id="4" xr3:uid="{7A9590E3-4111-4B03-B243-F49944B5F78C}" name="Payment Mode" dataDxfId="2" totalsRowDxfId="8"/>
    <tableColumn id="5" xr3:uid="{F9A5FCBE-1BDA-464D-8FCE-0634E82F5305}" name="Amount" totalsRowFunction="sum" dataDxfId="0"/>
    <tableColumn id="6" xr3:uid="{FA17ED1E-41B5-4C0D-BD33-FD9FCAE202B8}" name="Month" dataDxfId="1">
      <calculatedColumnFormula>TEXT(ExpenseTable[[#This Row],[Date]], "mmm")</calculatedColumnFormula>
    </tableColumn>
    <tableColumn id="7" xr3:uid="{88019D87-423D-443D-861D-AB2C3A4B2D73}" name="Year" dataDxfId="3" totalsRowDxfId="4">
      <calculatedColumnFormula>YEAR(ExpenseTable[[#This Row],[Date]])</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5B97-72C7-44F6-93FB-16757A18566D}">
  <dimension ref="A1:G46"/>
  <sheetViews>
    <sheetView tabSelected="1" topLeftCell="A2" workbookViewId="0">
      <selection activeCell="C19" sqref="C19"/>
    </sheetView>
  </sheetViews>
  <sheetFormatPr defaultRowHeight="14.4" x14ac:dyDescent="0.3"/>
  <cols>
    <col min="1" max="1" width="10.88671875" customWidth="1"/>
    <col min="2" max="2" width="14.109375" customWidth="1"/>
    <col min="3" max="3" width="12.33203125" customWidth="1"/>
    <col min="4" max="4" width="15.88671875" customWidth="1"/>
    <col min="5" max="5" width="9.77734375" style="10" customWidth="1"/>
  </cols>
  <sheetData>
    <row r="1" spans="1:7" x14ac:dyDescent="0.3">
      <c r="A1" s="1" t="s">
        <v>0</v>
      </c>
      <c r="B1" s="1" t="s">
        <v>1</v>
      </c>
      <c r="C1" s="1" t="s">
        <v>2</v>
      </c>
      <c r="D1" s="1" t="s">
        <v>3</v>
      </c>
      <c r="E1" s="8" t="s">
        <v>4</v>
      </c>
      <c r="F1" s="1" t="s">
        <v>30</v>
      </c>
      <c r="G1" s="1" t="s">
        <v>31</v>
      </c>
    </row>
    <row r="2" spans="1:7" x14ac:dyDescent="0.3">
      <c r="A2" s="2">
        <v>46023</v>
      </c>
      <c r="B2" s="3" t="s">
        <v>5</v>
      </c>
      <c r="C2" s="3" t="s">
        <v>6</v>
      </c>
      <c r="D2" s="3" t="s">
        <v>7</v>
      </c>
      <c r="E2" s="9">
        <v>200</v>
      </c>
      <c r="F2" s="3" t="str">
        <f>TEXT(ExpenseTable[[#This Row],[Date]], "mmm")</f>
        <v>Jan</v>
      </c>
      <c r="G2" s="3">
        <f>YEAR(ExpenseTable[[#This Row],[Date]])</f>
        <v>2026</v>
      </c>
    </row>
    <row r="3" spans="1:7" x14ac:dyDescent="0.3">
      <c r="A3" s="2">
        <v>46024</v>
      </c>
      <c r="B3" s="3" t="s">
        <v>8</v>
      </c>
      <c r="C3" s="3" t="s">
        <v>9</v>
      </c>
      <c r="D3" s="3" t="s">
        <v>10</v>
      </c>
      <c r="E3" s="9">
        <v>50</v>
      </c>
      <c r="F3" s="3" t="str">
        <f>TEXT(ExpenseTable[[#This Row],[Date]], "mmm")</f>
        <v>Jan</v>
      </c>
      <c r="G3" s="3">
        <f>YEAR(ExpenseTable[[#This Row],[Date]])</f>
        <v>2026</v>
      </c>
    </row>
    <row r="4" spans="1:7" x14ac:dyDescent="0.3">
      <c r="A4" s="2">
        <v>46025</v>
      </c>
      <c r="B4" s="3" t="s">
        <v>11</v>
      </c>
      <c r="C4" s="3" t="s">
        <v>12</v>
      </c>
      <c r="D4" s="3" t="s">
        <v>13</v>
      </c>
      <c r="E4" s="9">
        <v>1500</v>
      </c>
      <c r="F4" s="3" t="str">
        <f>TEXT(ExpenseTable[[#This Row],[Date]], "mmm")</f>
        <v>Jan</v>
      </c>
      <c r="G4" s="3">
        <f>YEAR(ExpenseTable[[#This Row],[Date]])</f>
        <v>2026</v>
      </c>
    </row>
    <row r="5" spans="1:7" x14ac:dyDescent="0.3">
      <c r="A5" s="2">
        <v>46026</v>
      </c>
      <c r="B5" s="3" t="s">
        <v>5</v>
      </c>
      <c r="C5" s="3" t="s">
        <v>14</v>
      </c>
      <c r="D5" s="3" t="s">
        <v>7</v>
      </c>
      <c r="E5" s="9">
        <v>300</v>
      </c>
      <c r="F5" s="3" t="str">
        <f>TEXT(ExpenseTable[[#This Row],[Date]], "mmm")</f>
        <v>Jan</v>
      </c>
      <c r="G5" s="3">
        <f>YEAR(ExpenseTable[[#This Row],[Date]])</f>
        <v>2026</v>
      </c>
    </row>
    <row r="6" spans="1:7" x14ac:dyDescent="0.3">
      <c r="A6" s="2">
        <v>46027</v>
      </c>
      <c r="B6" s="3" t="s">
        <v>15</v>
      </c>
      <c r="C6" s="3" t="s">
        <v>16</v>
      </c>
      <c r="D6" s="3" t="s">
        <v>13</v>
      </c>
      <c r="E6" s="9">
        <v>500</v>
      </c>
      <c r="F6" s="3" t="str">
        <f>TEXT(ExpenseTable[[#This Row],[Date]], "mmm")</f>
        <v>Jan</v>
      </c>
      <c r="G6" s="3">
        <f>YEAR(ExpenseTable[[#This Row],[Date]])</f>
        <v>2026</v>
      </c>
    </row>
    <row r="7" spans="1:7" x14ac:dyDescent="0.3">
      <c r="A7" s="2">
        <v>46028</v>
      </c>
      <c r="B7" s="3" t="s">
        <v>17</v>
      </c>
      <c r="C7" s="3" t="s">
        <v>18</v>
      </c>
      <c r="D7" s="3" t="s">
        <v>7</v>
      </c>
      <c r="E7" s="9">
        <v>1200</v>
      </c>
      <c r="F7" s="3" t="str">
        <f>TEXT(ExpenseTable[[#This Row],[Date]], "mmm")</f>
        <v>Jan</v>
      </c>
      <c r="G7" s="3">
        <f>YEAR(ExpenseTable[[#This Row],[Date]])</f>
        <v>2026</v>
      </c>
    </row>
    <row r="8" spans="1:7" x14ac:dyDescent="0.3">
      <c r="A8" s="2">
        <v>46029</v>
      </c>
      <c r="B8" s="3" t="s">
        <v>5</v>
      </c>
      <c r="C8" s="3" t="s">
        <v>19</v>
      </c>
      <c r="D8" s="3" t="s">
        <v>10</v>
      </c>
      <c r="E8" s="9">
        <v>100</v>
      </c>
      <c r="F8" s="3" t="str">
        <f>TEXT(ExpenseTable[[#This Row],[Date]], "mmm")</f>
        <v>Jan</v>
      </c>
      <c r="G8" s="3">
        <f>YEAR(ExpenseTable[[#This Row],[Date]])</f>
        <v>2026</v>
      </c>
    </row>
    <row r="9" spans="1:7" x14ac:dyDescent="0.3">
      <c r="A9" s="2">
        <v>46030</v>
      </c>
      <c r="B9" s="3" t="s">
        <v>8</v>
      </c>
      <c r="C9" s="3" t="s">
        <v>20</v>
      </c>
      <c r="D9" s="3" t="s">
        <v>10</v>
      </c>
      <c r="E9" s="9">
        <v>80</v>
      </c>
      <c r="F9" s="3" t="str">
        <f>TEXT(ExpenseTable[[#This Row],[Date]], "mmm")</f>
        <v>Jan</v>
      </c>
      <c r="G9" s="3">
        <f>YEAR(ExpenseTable[[#This Row],[Date]])</f>
        <v>2026</v>
      </c>
    </row>
    <row r="10" spans="1:7" x14ac:dyDescent="0.3">
      <c r="A10" s="2">
        <v>46031</v>
      </c>
      <c r="B10" s="3" t="s">
        <v>11</v>
      </c>
      <c r="C10" s="3" t="s">
        <v>21</v>
      </c>
      <c r="D10" s="3" t="s">
        <v>13</v>
      </c>
      <c r="E10" s="9">
        <v>2500</v>
      </c>
      <c r="F10" s="3" t="str">
        <f>TEXT(ExpenseTable[[#This Row],[Date]], "mmm")</f>
        <v>Jan</v>
      </c>
      <c r="G10" s="3">
        <f>YEAR(ExpenseTable[[#This Row],[Date]])</f>
        <v>2026</v>
      </c>
    </row>
    <row r="11" spans="1:7" x14ac:dyDescent="0.3">
      <c r="A11" s="2">
        <v>46032</v>
      </c>
      <c r="B11" s="3" t="s">
        <v>17</v>
      </c>
      <c r="C11" s="3" t="s">
        <v>22</v>
      </c>
      <c r="D11" s="3" t="s">
        <v>7</v>
      </c>
      <c r="E11" s="9">
        <v>700</v>
      </c>
      <c r="F11" s="3" t="str">
        <f>TEXT(ExpenseTable[[#This Row],[Date]], "mmm")</f>
        <v>Jan</v>
      </c>
      <c r="G11" s="3">
        <f>YEAR(ExpenseTable[[#This Row],[Date]])</f>
        <v>2026</v>
      </c>
    </row>
    <row r="12" spans="1:7" x14ac:dyDescent="0.3">
      <c r="A12" s="2">
        <v>46033</v>
      </c>
      <c r="B12" s="3" t="s">
        <v>15</v>
      </c>
      <c r="C12" s="3" t="s">
        <v>23</v>
      </c>
      <c r="D12" s="3" t="s">
        <v>7</v>
      </c>
      <c r="E12" s="9">
        <v>199</v>
      </c>
      <c r="F12" s="3" t="str">
        <f>TEXT(ExpenseTable[[#This Row],[Date]], "mmm")</f>
        <v>Jan</v>
      </c>
      <c r="G12" s="3">
        <f>YEAR(ExpenseTable[[#This Row],[Date]])</f>
        <v>2026</v>
      </c>
    </row>
    <row r="13" spans="1:7" x14ac:dyDescent="0.3">
      <c r="A13" s="2">
        <v>46034</v>
      </c>
      <c r="B13" s="3" t="s">
        <v>5</v>
      </c>
      <c r="C13" s="3" t="s">
        <v>24</v>
      </c>
      <c r="D13" s="3" t="s">
        <v>10</v>
      </c>
      <c r="E13" s="9">
        <v>150</v>
      </c>
      <c r="F13" s="3" t="str">
        <f>TEXT(ExpenseTable[[#This Row],[Date]], "mmm")</f>
        <v>Jan</v>
      </c>
      <c r="G13" s="3">
        <f>YEAR(ExpenseTable[[#This Row],[Date]])</f>
        <v>2026</v>
      </c>
    </row>
    <row r="14" spans="1:7" x14ac:dyDescent="0.3">
      <c r="A14" s="2">
        <v>46035</v>
      </c>
      <c r="B14" s="3" t="s">
        <v>25</v>
      </c>
      <c r="C14" s="3" t="s">
        <v>26</v>
      </c>
      <c r="D14" s="3" t="s">
        <v>7</v>
      </c>
      <c r="E14" s="9">
        <v>600</v>
      </c>
      <c r="F14" s="3" t="str">
        <f>TEXT(ExpenseTable[[#This Row],[Date]], "mmm")</f>
        <v>Jan</v>
      </c>
      <c r="G14" s="3">
        <f>YEAR(ExpenseTable[[#This Row],[Date]])</f>
        <v>2026</v>
      </c>
    </row>
    <row r="15" spans="1:7" x14ac:dyDescent="0.3">
      <c r="A15" s="2">
        <v>46036</v>
      </c>
      <c r="B15" s="3" t="s">
        <v>27</v>
      </c>
      <c r="C15" s="3" t="s">
        <v>28</v>
      </c>
      <c r="D15" s="3" t="s">
        <v>13</v>
      </c>
      <c r="E15" s="9">
        <v>900</v>
      </c>
      <c r="F15" s="3" t="str">
        <f>TEXT(ExpenseTable[[#This Row],[Date]], "mmm")</f>
        <v>Jan</v>
      </c>
      <c r="G15" s="3">
        <f>YEAR(ExpenseTable[[#This Row],[Date]])</f>
        <v>2026</v>
      </c>
    </row>
    <row r="16" spans="1:7" x14ac:dyDescent="0.3">
      <c r="A16" s="2">
        <v>46037</v>
      </c>
      <c r="B16" s="3" t="s">
        <v>8</v>
      </c>
      <c r="C16" s="3" t="s">
        <v>29</v>
      </c>
      <c r="D16" s="3" t="s">
        <v>7</v>
      </c>
      <c r="E16" s="9">
        <v>450</v>
      </c>
      <c r="F16" s="3" t="str">
        <f>TEXT(ExpenseTable[[#This Row],[Date]], "mmm")</f>
        <v>Jan</v>
      </c>
      <c r="G16" s="3">
        <f>YEAR(ExpenseTable[[#This Row],[Date]])</f>
        <v>2026</v>
      </c>
    </row>
    <row r="17" spans="1:7" x14ac:dyDescent="0.3">
      <c r="A17" s="2">
        <v>46055</v>
      </c>
      <c r="B17" s="3" t="s">
        <v>5</v>
      </c>
      <c r="C17" s="3" t="s">
        <v>32</v>
      </c>
      <c r="D17" s="3" t="s">
        <v>7</v>
      </c>
      <c r="E17" s="9">
        <v>400</v>
      </c>
      <c r="F17" s="7" t="str">
        <f>TEXT(ExpenseTable[[#This Row],[Date]], "mmm")</f>
        <v>Feb</v>
      </c>
      <c r="G17" s="7">
        <f>YEAR(ExpenseTable[[#This Row],[Date]])</f>
        <v>2026</v>
      </c>
    </row>
    <row r="18" spans="1:7" x14ac:dyDescent="0.3">
      <c r="A18" s="2">
        <v>46057</v>
      </c>
      <c r="B18" s="3" t="s">
        <v>8</v>
      </c>
      <c r="C18" s="3" t="s">
        <v>33</v>
      </c>
      <c r="D18" s="3" t="s">
        <v>10</v>
      </c>
      <c r="E18" s="9">
        <v>180</v>
      </c>
      <c r="F18" s="7" t="str">
        <f>TEXT(ExpenseTable[[#This Row],[Date]], "mmm")</f>
        <v>Feb</v>
      </c>
      <c r="G18" s="7">
        <f>YEAR(ExpenseTable[[#This Row],[Date]])</f>
        <v>2026</v>
      </c>
    </row>
    <row r="19" spans="1:7" x14ac:dyDescent="0.3">
      <c r="A19" s="2">
        <v>46059</v>
      </c>
      <c r="B19" s="3" t="s">
        <v>11</v>
      </c>
      <c r="C19" s="3" t="s">
        <v>34</v>
      </c>
      <c r="D19" s="3" t="s">
        <v>13</v>
      </c>
      <c r="E19" s="9">
        <v>1800</v>
      </c>
      <c r="F19" s="7" t="str">
        <f>TEXT(ExpenseTable[[#This Row],[Date]], "mmm")</f>
        <v>Feb</v>
      </c>
      <c r="G19" s="7">
        <f>YEAR(ExpenseTable[[#This Row],[Date]])</f>
        <v>2026</v>
      </c>
    </row>
    <row r="20" spans="1:7" x14ac:dyDescent="0.3">
      <c r="A20" s="2">
        <v>46062</v>
      </c>
      <c r="B20" s="3" t="s">
        <v>17</v>
      </c>
      <c r="C20" s="3" t="s">
        <v>35</v>
      </c>
      <c r="D20" s="3" t="s">
        <v>7</v>
      </c>
      <c r="E20" s="9">
        <v>500</v>
      </c>
      <c r="F20" s="7" t="str">
        <f>TEXT(ExpenseTable[[#This Row],[Date]], "mmm")</f>
        <v>Feb</v>
      </c>
      <c r="G20" s="7">
        <f>YEAR(ExpenseTable[[#This Row],[Date]])</f>
        <v>2026</v>
      </c>
    </row>
    <row r="21" spans="1:7" ht="28.8" x14ac:dyDescent="0.3">
      <c r="A21" s="2">
        <v>46065</v>
      </c>
      <c r="B21" s="3" t="s">
        <v>15</v>
      </c>
      <c r="C21" s="3" t="s">
        <v>36</v>
      </c>
      <c r="D21" s="3" t="s">
        <v>13</v>
      </c>
      <c r="E21" s="9">
        <v>1200</v>
      </c>
      <c r="F21" s="7" t="str">
        <f>TEXT(ExpenseTable[[#This Row],[Date]], "mmm")</f>
        <v>Feb</v>
      </c>
      <c r="G21" s="7">
        <f>YEAR(ExpenseTable[[#This Row],[Date]])</f>
        <v>2026</v>
      </c>
    </row>
    <row r="22" spans="1:7" x14ac:dyDescent="0.3">
      <c r="A22" s="2">
        <v>46068</v>
      </c>
      <c r="B22" s="3" t="s">
        <v>25</v>
      </c>
      <c r="C22" s="3" t="s">
        <v>37</v>
      </c>
      <c r="D22" s="3" t="s">
        <v>10</v>
      </c>
      <c r="E22" s="9">
        <v>800</v>
      </c>
      <c r="F22" s="7" t="str">
        <f>TEXT(ExpenseTable[[#This Row],[Date]], "mmm")</f>
        <v>Feb</v>
      </c>
      <c r="G22" s="7">
        <f>YEAR(ExpenseTable[[#This Row],[Date]])</f>
        <v>2026</v>
      </c>
    </row>
    <row r="23" spans="1:7" x14ac:dyDescent="0.3">
      <c r="A23" s="2">
        <v>46071</v>
      </c>
      <c r="B23" s="3" t="s">
        <v>5</v>
      </c>
      <c r="C23" s="3" t="s">
        <v>14</v>
      </c>
      <c r="D23" s="3" t="s">
        <v>7</v>
      </c>
      <c r="E23" s="9">
        <v>350</v>
      </c>
      <c r="F23" s="7" t="str">
        <f>TEXT(ExpenseTable[[#This Row],[Date]], "mmm")</f>
        <v>Feb</v>
      </c>
      <c r="G23" s="7">
        <f>YEAR(ExpenseTable[[#This Row],[Date]])</f>
        <v>2026</v>
      </c>
    </row>
    <row r="24" spans="1:7" x14ac:dyDescent="0.3">
      <c r="A24" s="2">
        <v>46075</v>
      </c>
      <c r="B24" s="3" t="s">
        <v>27</v>
      </c>
      <c r="C24" s="3" t="s">
        <v>38</v>
      </c>
      <c r="D24" s="3" t="s">
        <v>13</v>
      </c>
      <c r="E24" s="9">
        <v>450</v>
      </c>
      <c r="F24" s="7" t="str">
        <f>TEXT(ExpenseTable[[#This Row],[Date]], "mmm")</f>
        <v>Feb</v>
      </c>
      <c r="G24" s="7">
        <f>YEAR(ExpenseTable[[#This Row],[Date]])</f>
        <v>2026</v>
      </c>
    </row>
    <row r="25" spans="1:7" x14ac:dyDescent="0.3">
      <c r="A25" s="2">
        <v>46078</v>
      </c>
      <c r="B25" s="3" t="s">
        <v>8</v>
      </c>
      <c r="C25" s="3" t="s">
        <v>9</v>
      </c>
      <c r="D25" s="3" t="s">
        <v>10</v>
      </c>
      <c r="E25" s="9">
        <v>60</v>
      </c>
      <c r="F25" s="7" t="str">
        <f>TEXT(ExpenseTable[[#This Row],[Date]], "mmm")</f>
        <v>Feb</v>
      </c>
      <c r="G25" s="7">
        <f>YEAR(ExpenseTable[[#This Row],[Date]])</f>
        <v>2026</v>
      </c>
    </row>
    <row r="26" spans="1:7" x14ac:dyDescent="0.3">
      <c r="A26" s="2">
        <v>46081</v>
      </c>
      <c r="B26" s="3" t="s">
        <v>17</v>
      </c>
      <c r="C26" s="3" t="s">
        <v>39</v>
      </c>
      <c r="D26" s="3" t="s">
        <v>7</v>
      </c>
      <c r="E26" s="9">
        <v>900</v>
      </c>
      <c r="F26" s="7" t="str">
        <f>TEXT(ExpenseTable[[#This Row],[Date]], "mmm")</f>
        <v>Feb</v>
      </c>
      <c r="G26" s="7">
        <f>YEAR(ExpenseTable[[#This Row],[Date]])</f>
        <v>2026</v>
      </c>
    </row>
    <row r="27" spans="1:7" x14ac:dyDescent="0.3">
      <c r="A27" s="2">
        <v>46083</v>
      </c>
      <c r="B27" s="3" t="s">
        <v>5</v>
      </c>
      <c r="C27" s="3" t="s">
        <v>40</v>
      </c>
      <c r="D27" s="3" t="s">
        <v>13</v>
      </c>
      <c r="E27" s="9">
        <v>650</v>
      </c>
      <c r="F27" s="7" t="str">
        <f>TEXT(ExpenseTable[[#This Row],[Date]], "mmm")</f>
        <v>Mar</v>
      </c>
      <c r="G27" s="7">
        <f>YEAR(ExpenseTable[[#This Row],[Date]])</f>
        <v>2026</v>
      </c>
    </row>
    <row r="28" spans="1:7" x14ac:dyDescent="0.3">
      <c r="A28" s="2">
        <v>46086</v>
      </c>
      <c r="B28" s="3" t="s">
        <v>11</v>
      </c>
      <c r="C28" s="3" t="s">
        <v>21</v>
      </c>
      <c r="D28" s="3" t="s">
        <v>13</v>
      </c>
      <c r="E28" s="9">
        <v>2200</v>
      </c>
      <c r="F28" s="7" t="str">
        <f>TEXT(ExpenseTable[[#This Row],[Date]], "mmm")</f>
        <v>Mar</v>
      </c>
      <c r="G28" s="7">
        <f>YEAR(ExpenseTable[[#This Row],[Date]])</f>
        <v>2026</v>
      </c>
    </row>
    <row r="29" spans="1:7" x14ac:dyDescent="0.3">
      <c r="A29" s="2">
        <v>46089</v>
      </c>
      <c r="B29" s="3" t="s">
        <v>27</v>
      </c>
      <c r="C29" s="3" t="s">
        <v>41</v>
      </c>
      <c r="D29" s="3" t="s">
        <v>7</v>
      </c>
      <c r="E29" s="9">
        <v>2500</v>
      </c>
      <c r="F29" s="7" t="str">
        <f>TEXT(ExpenseTable[[#This Row],[Date]], "mmm")</f>
        <v>Mar</v>
      </c>
      <c r="G29" s="7">
        <f>YEAR(ExpenseTable[[#This Row],[Date]])</f>
        <v>2026</v>
      </c>
    </row>
    <row r="30" spans="1:7" ht="28.8" x14ac:dyDescent="0.3">
      <c r="A30" s="2">
        <v>46092</v>
      </c>
      <c r="B30" s="3" t="s">
        <v>15</v>
      </c>
      <c r="C30" s="3" t="s">
        <v>42</v>
      </c>
      <c r="D30" s="3" t="s">
        <v>7</v>
      </c>
      <c r="E30" s="9">
        <v>299</v>
      </c>
      <c r="F30" s="7" t="str">
        <f>TEXT(ExpenseTable[[#This Row],[Date]], "mmm")</f>
        <v>Mar</v>
      </c>
      <c r="G30" s="7">
        <f>YEAR(ExpenseTable[[#This Row],[Date]])</f>
        <v>2026</v>
      </c>
    </row>
    <row r="31" spans="1:7" x14ac:dyDescent="0.3">
      <c r="A31" s="2">
        <v>46095</v>
      </c>
      <c r="B31" s="3" t="s">
        <v>8</v>
      </c>
      <c r="C31" s="3" t="s">
        <v>29</v>
      </c>
      <c r="D31" s="3" t="s">
        <v>7</v>
      </c>
      <c r="E31" s="9">
        <v>700</v>
      </c>
      <c r="F31" s="7" t="str">
        <f>TEXT(ExpenseTable[[#This Row],[Date]], "mmm")</f>
        <v>Mar</v>
      </c>
      <c r="G31" s="7">
        <f>YEAR(ExpenseTable[[#This Row],[Date]])</f>
        <v>2026</v>
      </c>
    </row>
    <row r="32" spans="1:7" x14ac:dyDescent="0.3">
      <c r="A32" s="2">
        <v>46098</v>
      </c>
      <c r="B32" s="3" t="s">
        <v>25</v>
      </c>
      <c r="C32" s="3" t="s">
        <v>26</v>
      </c>
      <c r="D32" s="3" t="s">
        <v>10</v>
      </c>
      <c r="E32" s="9">
        <v>550</v>
      </c>
      <c r="F32" s="7" t="str">
        <f>TEXT(ExpenseTable[[#This Row],[Date]], "mmm")</f>
        <v>Mar</v>
      </c>
      <c r="G32" s="7">
        <f>YEAR(ExpenseTable[[#This Row],[Date]])</f>
        <v>2026</v>
      </c>
    </row>
    <row r="33" spans="1:7" x14ac:dyDescent="0.3">
      <c r="A33" s="2">
        <v>46101</v>
      </c>
      <c r="B33" s="3" t="s">
        <v>5</v>
      </c>
      <c r="C33" s="3" t="s">
        <v>24</v>
      </c>
      <c r="D33" s="3" t="s">
        <v>10</v>
      </c>
      <c r="E33" s="9">
        <v>120</v>
      </c>
      <c r="F33" s="7" t="str">
        <f>TEXT(ExpenseTable[[#This Row],[Date]], "mmm")</f>
        <v>Mar</v>
      </c>
      <c r="G33" s="7">
        <f>YEAR(ExpenseTable[[#This Row],[Date]])</f>
        <v>2026</v>
      </c>
    </row>
    <row r="34" spans="1:7" x14ac:dyDescent="0.3">
      <c r="A34" s="2">
        <v>46104</v>
      </c>
      <c r="B34" s="3" t="s">
        <v>17</v>
      </c>
      <c r="C34" s="3" t="s">
        <v>18</v>
      </c>
      <c r="D34" s="3" t="s">
        <v>7</v>
      </c>
      <c r="E34" s="9">
        <v>1300</v>
      </c>
      <c r="F34" s="7" t="str">
        <f>TEXT(ExpenseTable[[#This Row],[Date]], "mmm")</f>
        <v>Mar</v>
      </c>
      <c r="G34" s="7">
        <f>YEAR(ExpenseTable[[#This Row],[Date]])</f>
        <v>2026</v>
      </c>
    </row>
    <row r="35" spans="1:7" x14ac:dyDescent="0.3">
      <c r="A35" s="2">
        <v>46107</v>
      </c>
      <c r="B35" s="3" t="s">
        <v>11</v>
      </c>
      <c r="C35" s="3" t="s">
        <v>43</v>
      </c>
      <c r="D35" s="3" t="s">
        <v>13</v>
      </c>
      <c r="E35" s="9">
        <v>900</v>
      </c>
      <c r="F35" s="7" t="str">
        <f>TEXT(ExpenseTable[[#This Row],[Date]], "mmm")</f>
        <v>Mar</v>
      </c>
      <c r="G35" s="7">
        <f>YEAR(ExpenseTable[[#This Row],[Date]])</f>
        <v>2026</v>
      </c>
    </row>
    <row r="36" spans="1:7" x14ac:dyDescent="0.3">
      <c r="A36" s="2">
        <v>46110</v>
      </c>
      <c r="B36" s="3" t="s">
        <v>8</v>
      </c>
      <c r="C36" s="3" t="s">
        <v>20</v>
      </c>
      <c r="D36" s="3" t="s">
        <v>10</v>
      </c>
      <c r="E36" s="9">
        <v>100</v>
      </c>
      <c r="F36" s="7" t="str">
        <f>TEXT(ExpenseTable[[#This Row],[Date]], "mmm")</f>
        <v>Mar</v>
      </c>
      <c r="G36" s="7">
        <f>YEAR(ExpenseTable[[#This Row],[Date]])</f>
        <v>2026</v>
      </c>
    </row>
    <row r="37" spans="1:7" x14ac:dyDescent="0.3">
      <c r="A37" s="2">
        <v>46113</v>
      </c>
      <c r="B37" s="3" t="s">
        <v>5</v>
      </c>
      <c r="C37" s="3" t="s">
        <v>6</v>
      </c>
      <c r="D37" s="3" t="s">
        <v>7</v>
      </c>
      <c r="E37" s="9">
        <v>250</v>
      </c>
      <c r="F37" s="7" t="str">
        <f>TEXT(ExpenseTable[[#This Row],[Date]], "mmm")</f>
        <v>Apr</v>
      </c>
      <c r="G37" s="7">
        <f>YEAR(ExpenseTable[[#This Row],[Date]])</f>
        <v>2026</v>
      </c>
    </row>
    <row r="38" spans="1:7" ht="28.8" x14ac:dyDescent="0.3">
      <c r="A38" s="2">
        <v>46116</v>
      </c>
      <c r="B38" s="3" t="s">
        <v>17</v>
      </c>
      <c r="C38" s="3" t="s">
        <v>44</v>
      </c>
      <c r="D38" s="3" t="s">
        <v>7</v>
      </c>
      <c r="E38" s="9">
        <v>300</v>
      </c>
      <c r="F38" s="7" t="str">
        <f>TEXT(ExpenseTable[[#This Row],[Date]], "mmm")</f>
        <v>Apr</v>
      </c>
      <c r="G38" s="7">
        <f>YEAR(ExpenseTable[[#This Row],[Date]])</f>
        <v>2026</v>
      </c>
    </row>
    <row r="39" spans="1:7" x14ac:dyDescent="0.3">
      <c r="A39" s="2">
        <v>46119</v>
      </c>
      <c r="B39" s="3" t="s">
        <v>11</v>
      </c>
      <c r="C39" s="3" t="s">
        <v>45</v>
      </c>
      <c r="D39" s="3" t="s">
        <v>13</v>
      </c>
      <c r="E39" s="9">
        <v>850</v>
      </c>
      <c r="F39" s="7" t="str">
        <f>TEXT(ExpenseTable[[#This Row],[Date]], "mmm")</f>
        <v>Apr</v>
      </c>
      <c r="G39" s="7">
        <f>YEAR(ExpenseTable[[#This Row],[Date]])</f>
        <v>2026</v>
      </c>
    </row>
    <row r="40" spans="1:7" x14ac:dyDescent="0.3">
      <c r="A40" s="2">
        <v>46122</v>
      </c>
      <c r="B40" s="3" t="s">
        <v>27</v>
      </c>
      <c r="C40" s="3" t="s">
        <v>28</v>
      </c>
      <c r="D40" s="3" t="s">
        <v>13</v>
      </c>
      <c r="E40" s="9">
        <v>1100</v>
      </c>
      <c r="F40" s="7" t="str">
        <f>TEXT(ExpenseTable[[#This Row],[Date]], "mmm")</f>
        <v>Apr</v>
      </c>
      <c r="G40" s="7">
        <f>YEAR(ExpenseTable[[#This Row],[Date]])</f>
        <v>2026</v>
      </c>
    </row>
    <row r="41" spans="1:7" x14ac:dyDescent="0.3">
      <c r="A41" s="2">
        <v>46125</v>
      </c>
      <c r="B41" s="3" t="s">
        <v>15</v>
      </c>
      <c r="C41" s="3" t="s">
        <v>16</v>
      </c>
      <c r="D41" s="3" t="s">
        <v>10</v>
      </c>
      <c r="E41" s="9">
        <v>400</v>
      </c>
      <c r="F41" s="7" t="str">
        <f>TEXT(ExpenseTable[[#This Row],[Date]], "mmm")</f>
        <v>Apr</v>
      </c>
      <c r="G41" s="7">
        <f>YEAR(ExpenseTable[[#This Row],[Date]])</f>
        <v>2026</v>
      </c>
    </row>
    <row r="42" spans="1:7" ht="28.8" x14ac:dyDescent="0.3">
      <c r="A42" s="2">
        <v>46128</v>
      </c>
      <c r="B42" s="3" t="s">
        <v>8</v>
      </c>
      <c r="C42" s="3" t="s">
        <v>46</v>
      </c>
      <c r="D42" s="3" t="s">
        <v>7</v>
      </c>
      <c r="E42" s="9">
        <v>300</v>
      </c>
      <c r="F42" s="7" t="str">
        <f>TEXT(ExpenseTable[[#This Row],[Date]], "mmm")</f>
        <v>Apr</v>
      </c>
      <c r="G42" s="7">
        <f>YEAR(ExpenseTable[[#This Row],[Date]])</f>
        <v>2026</v>
      </c>
    </row>
    <row r="43" spans="1:7" x14ac:dyDescent="0.3">
      <c r="A43" s="2">
        <v>46131</v>
      </c>
      <c r="B43" s="3" t="s">
        <v>25</v>
      </c>
      <c r="C43" s="3" t="s">
        <v>47</v>
      </c>
      <c r="D43" s="3" t="s">
        <v>7</v>
      </c>
      <c r="E43" s="9">
        <v>450</v>
      </c>
      <c r="F43" s="7" t="str">
        <f>TEXT(ExpenseTable[[#This Row],[Date]], "mmm")</f>
        <v>Apr</v>
      </c>
      <c r="G43" s="7">
        <f>YEAR(ExpenseTable[[#This Row],[Date]])</f>
        <v>2026</v>
      </c>
    </row>
    <row r="44" spans="1:7" x14ac:dyDescent="0.3">
      <c r="A44" s="2">
        <v>46134</v>
      </c>
      <c r="B44" s="3" t="s">
        <v>5</v>
      </c>
      <c r="C44" s="3" t="s">
        <v>14</v>
      </c>
      <c r="D44" s="3" t="s">
        <v>13</v>
      </c>
      <c r="E44" s="9">
        <v>500</v>
      </c>
      <c r="F44" s="7" t="str">
        <f>TEXT(ExpenseTable[[#This Row],[Date]], "mmm")</f>
        <v>Apr</v>
      </c>
      <c r="G44" s="7">
        <f>YEAR(ExpenseTable[[#This Row],[Date]])</f>
        <v>2026</v>
      </c>
    </row>
    <row r="45" spans="1:7" x14ac:dyDescent="0.3">
      <c r="A45" s="2">
        <v>46137</v>
      </c>
      <c r="B45" s="3" t="s">
        <v>17</v>
      </c>
      <c r="C45" s="3" t="s">
        <v>22</v>
      </c>
      <c r="D45" s="3" t="s">
        <v>7</v>
      </c>
      <c r="E45" s="9">
        <v>700</v>
      </c>
      <c r="F45" s="7" t="str">
        <f>TEXT(ExpenseTable[[#This Row],[Date]], "mmm")</f>
        <v>Apr</v>
      </c>
      <c r="G45" s="7">
        <f>YEAR(ExpenseTable[[#This Row],[Date]])</f>
        <v>2026</v>
      </c>
    </row>
    <row r="46" spans="1:7" x14ac:dyDescent="0.3">
      <c r="A46" s="2">
        <v>46140</v>
      </c>
      <c r="B46" s="3" t="s">
        <v>11</v>
      </c>
      <c r="C46" s="3" t="s">
        <v>48</v>
      </c>
      <c r="D46" s="3" t="s">
        <v>13</v>
      </c>
      <c r="E46" s="9">
        <v>1500</v>
      </c>
      <c r="F46" s="7" t="str">
        <f>TEXT(ExpenseTable[[#This Row],[Date]], "mmm")</f>
        <v>Apr</v>
      </c>
      <c r="G46" s="7">
        <f>YEAR(ExpenseTable[[#This Row],[Date]])</f>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BAF7-5AC2-43E9-914B-274C34BD250F}">
  <dimension ref="B2:L9"/>
  <sheetViews>
    <sheetView workbookViewId="0">
      <selection activeCell="H25" sqref="H24:H25"/>
    </sheetView>
  </sheetViews>
  <sheetFormatPr defaultRowHeight="14.4" x14ac:dyDescent="0.3"/>
  <cols>
    <col min="2" max="2" width="24.33203125" customWidth="1"/>
    <col min="3" max="3" width="11.44140625" style="5" bestFit="1" customWidth="1"/>
    <col min="5" max="5" width="12.6640625" bestFit="1" customWidth="1"/>
    <col min="6" max="6" width="12.5546875" bestFit="1" customWidth="1"/>
    <col min="8" max="8" width="16.33203125" bestFit="1" customWidth="1"/>
    <col min="9" max="9" width="22.109375" bestFit="1" customWidth="1"/>
    <col min="11" max="11" width="9" bestFit="1" customWidth="1"/>
    <col min="12" max="12" width="14.44140625" bestFit="1" customWidth="1"/>
  </cols>
  <sheetData>
    <row r="2" spans="2:12" ht="19.2" customHeight="1" x14ac:dyDescent="0.3">
      <c r="B2" s="3" t="s">
        <v>49</v>
      </c>
      <c r="C2" s="10">
        <f>SUM(ExpenseTable[[#All],[Amount]])</f>
        <v>31738</v>
      </c>
      <c r="E2" s="12" t="s">
        <v>1</v>
      </c>
      <c r="F2" t="s">
        <v>62</v>
      </c>
      <c r="H2" s="12" t="s">
        <v>3</v>
      </c>
      <c r="I2" t="s">
        <v>57</v>
      </c>
      <c r="K2" s="12" t="s">
        <v>30</v>
      </c>
      <c r="L2" t="s">
        <v>56</v>
      </c>
    </row>
    <row r="3" spans="2:12" ht="19.2" customHeight="1" x14ac:dyDescent="0.3">
      <c r="B3" s="3" t="s">
        <v>50</v>
      </c>
      <c r="C3" s="5">
        <f>MAX(ExpenseTable[Amount])</f>
        <v>2500</v>
      </c>
      <c r="E3" s="4" t="s">
        <v>17</v>
      </c>
      <c r="F3" s="11">
        <v>5600</v>
      </c>
      <c r="H3" s="4" t="s">
        <v>13</v>
      </c>
      <c r="I3" s="13">
        <v>14</v>
      </c>
      <c r="K3" s="4" t="s">
        <v>58</v>
      </c>
      <c r="L3" s="11">
        <v>9429</v>
      </c>
    </row>
    <row r="4" spans="2:12" ht="18.600000000000001" customHeight="1" x14ac:dyDescent="0.3">
      <c r="B4" s="3" t="s">
        <v>51</v>
      </c>
      <c r="C4" s="5">
        <f>MIN(ExpenseTable[Amount])</f>
        <v>50</v>
      </c>
      <c r="E4" s="4" t="s">
        <v>27</v>
      </c>
      <c r="F4" s="11">
        <v>4950</v>
      </c>
      <c r="H4" s="4" t="s">
        <v>10</v>
      </c>
      <c r="I4" s="13">
        <v>11</v>
      </c>
      <c r="K4" s="4" t="s">
        <v>59</v>
      </c>
      <c r="L4" s="11">
        <v>6640</v>
      </c>
    </row>
    <row r="5" spans="2:12" ht="19.2" customHeight="1" x14ac:dyDescent="0.3">
      <c r="B5" s="3" t="s">
        <v>52</v>
      </c>
      <c r="C5" s="6">
        <f>AVERAGE(ExpenseTable[Amount])</f>
        <v>705.28888888888889</v>
      </c>
      <c r="E5" s="4" t="s">
        <v>15</v>
      </c>
      <c r="F5" s="11">
        <v>2598</v>
      </c>
      <c r="H5" s="4" t="s">
        <v>7</v>
      </c>
      <c r="I5" s="13">
        <v>20</v>
      </c>
      <c r="K5" s="4" t="s">
        <v>60</v>
      </c>
      <c r="L5" s="11">
        <v>9319</v>
      </c>
    </row>
    <row r="6" spans="2:12" ht="21" customHeight="1" x14ac:dyDescent="0.3">
      <c r="B6" s="3" t="s">
        <v>53</v>
      </c>
      <c r="C6" s="5" t="str">
        <f>_xlfn.XLOOKUP(MAX(F:F),F:F,E:E)</f>
        <v>Shopping</v>
      </c>
      <c r="E6" s="4" t="s">
        <v>5</v>
      </c>
      <c r="F6" s="11">
        <v>3020</v>
      </c>
      <c r="K6" s="4" t="s">
        <v>61</v>
      </c>
      <c r="L6" s="11">
        <v>6350</v>
      </c>
    </row>
    <row r="7" spans="2:12" ht="19.8" customHeight="1" x14ac:dyDescent="0.3">
      <c r="B7" s="3" t="s">
        <v>54</v>
      </c>
      <c r="C7" s="5" t="str">
        <f>_xlfn.XLOOKUP(MAX(I:I),I:I,H:H)</f>
        <v>UPI</v>
      </c>
      <c r="E7" s="4" t="s">
        <v>25</v>
      </c>
      <c r="F7" s="11">
        <v>2400</v>
      </c>
    </row>
    <row r="8" spans="2:12" x14ac:dyDescent="0.3">
      <c r="B8" s="3" t="s">
        <v>55</v>
      </c>
      <c r="C8" s="5" t="str">
        <f>_xlfn.XLOOKUP(MAX(L:L),L:L,K:K)</f>
        <v>Jan</v>
      </c>
      <c r="E8" s="4" t="s">
        <v>11</v>
      </c>
      <c r="F8" s="11">
        <v>11250</v>
      </c>
    </row>
    <row r="9" spans="2:12" x14ac:dyDescent="0.3">
      <c r="E9" s="4" t="s">
        <v>8</v>
      </c>
      <c r="F9" s="11">
        <v>1920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81C3-DD5D-4110-8221-9ABFFE532D16}">
  <dimension ref="A2:A3"/>
  <sheetViews>
    <sheetView showGridLines="0" showRowColHeaders="0" zoomScale="85" zoomScaleNormal="85" workbookViewId="0">
      <selection activeCell="V13" sqref="V13"/>
    </sheetView>
  </sheetViews>
  <sheetFormatPr defaultRowHeight="14.4" x14ac:dyDescent="0.3"/>
  <cols>
    <col min="1" max="1" width="6.88671875" customWidth="1"/>
  </cols>
  <sheetData>
    <row r="2" ht="29.4" customHeight="1" x14ac:dyDescent="0.3"/>
    <row r="3" ht="59.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Savaliya</dc:creator>
  <cp:lastModifiedBy>Rita Savaliya</cp:lastModifiedBy>
  <dcterms:created xsi:type="dcterms:W3CDTF">2026-06-14T04:37:19Z</dcterms:created>
  <dcterms:modified xsi:type="dcterms:W3CDTF">2026-06-14T07:59:01Z</dcterms:modified>
</cp:coreProperties>
</file>